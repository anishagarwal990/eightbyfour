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ishagarwal/Downloads/eightbyfour/"/>
    </mc:Choice>
  </mc:AlternateContent>
  <xr:revisionPtr revIDLastSave="0" documentId="13_ncr:1_{9F614AC4-876E-C04B-8BC5-7F76292BBBD1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Table 1" sheetId="1" r:id="rId1"/>
    <sheet name="Sheet1" sheetId="3" r:id="rId2"/>
    <sheet name="Table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3" l="1"/>
  <c r="I74" i="3"/>
  <c r="I72" i="3"/>
  <c r="I71" i="3"/>
  <c r="I70" i="3"/>
  <c r="I69" i="3"/>
  <c r="I68" i="3"/>
  <c r="I67" i="3"/>
  <c r="I65" i="3"/>
  <c r="I64" i="3"/>
  <c r="I63" i="3"/>
  <c r="I62" i="3"/>
  <c r="I61" i="3"/>
  <c r="I59" i="3"/>
  <c r="I58" i="3"/>
  <c r="I57" i="3"/>
  <c r="I56" i="3"/>
  <c r="I55" i="3"/>
  <c r="I54" i="3"/>
  <c r="I53" i="3"/>
  <c r="I51" i="3"/>
  <c r="I50" i="3"/>
  <c r="I49" i="3"/>
  <c r="I48" i="3"/>
  <c r="I47" i="3"/>
  <c r="I46" i="3"/>
  <c r="I44" i="3"/>
  <c r="I43" i="3"/>
  <c r="I42" i="3"/>
  <c r="I41" i="3"/>
  <c r="I40" i="3"/>
  <c r="I39" i="3"/>
  <c r="I38" i="3"/>
  <c r="I37" i="3"/>
  <c r="I36" i="3"/>
  <c r="I34" i="3"/>
  <c r="I33" i="3"/>
  <c r="I32" i="3"/>
  <c r="I31" i="3"/>
  <c r="I30" i="3"/>
  <c r="I29" i="3"/>
  <c r="I28" i="3"/>
  <c r="I27" i="3"/>
  <c r="I26" i="3"/>
  <c r="I24" i="3"/>
  <c r="I23" i="3"/>
  <c r="I22" i="3"/>
  <c r="I21" i="3"/>
  <c r="I20" i="3"/>
  <c r="I19" i="3"/>
  <c r="I18" i="3"/>
  <c r="I17" i="3"/>
  <c r="I15" i="3"/>
  <c r="I14" i="3"/>
  <c r="I13" i="3"/>
  <c r="I12" i="3"/>
  <c r="I11" i="3"/>
  <c r="I10" i="3"/>
  <c r="I9" i="3"/>
  <c r="I8" i="3"/>
  <c r="I7" i="3"/>
  <c r="I6" i="3"/>
  <c r="I5" i="3"/>
  <c r="I4" i="3"/>
  <c r="F4" i="3"/>
  <c r="G4" i="3"/>
  <c r="G7" i="3"/>
  <c r="G8" i="3"/>
  <c r="G9" i="3"/>
  <c r="G10" i="3"/>
  <c r="G11" i="3"/>
  <c r="G12" i="3"/>
  <c r="G13" i="3"/>
  <c r="G14" i="3"/>
  <c r="G15" i="3"/>
  <c r="G65" i="3"/>
  <c r="H65" i="3" s="1"/>
  <c r="H70" i="3"/>
  <c r="G69" i="3"/>
  <c r="H69" i="3" s="1"/>
  <c r="G68" i="3"/>
  <c r="H68" i="3"/>
  <c r="F76" i="3"/>
  <c r="G76" i="3" s="1"/>
  <c r="H76" i="3" s="1"/>
  <c r="F74" i="3"/>
  <c r="G74" i="3" s="1"/>
  <c r="F72" i="3"/>
  <c r="G72" i="3" s="1"/>
  <c r="H72" i="3" s="1"/>
  <c r="F71" i="3"/>
  <c r="G71" i="3" s="1"/>
  <c r="H71" i="3" s="1"/>
  <c r="F70" i="3"/>
  <c r="F69" i="3"/>
  <c r="F68" i="3"/>
  <c r="F67" i="3"/>
  <c r="G67" i="3" s="1"/>
  <c r="H67" i="3" s="1"/>
  <c r="F65" i="3"/>
  <c r="F64" i="3"/>
  <c r="G64" i="3" s="1"/>
  <c r="H64" i="3" s="1"/>
  <c r="F63" i="3"/>
  <c r="G63" i="3" s="1"/>
  <c r="H63" i="3" s="1"/>
  <c r="F62" i="3"/>
  <c r="G62" i="3" s="1"/>
  <c r="H62" i="3" s="1"/>
  <c r="F61" i="3"/>
  <c r="G61" i="3" s="1"/>
  <c r="H61" i="3" s="1"/>
  <c r="F59" i="3"/>
  <c r="G59" i="3" s="1"/>
  <c r="H59" i="3" s="1"/>
  <c r="F58" i="3"/>
  <c r="G58" i="3" s="1"/>
  <c r="H58" i="3" s="1"/>
  <c r="F57" i="3"/>
  <c r="G57" i="3" s="1"/>
  <c r="H57" i="3" s="1"/>
  <c r="F56" i="3"/>
  <c r="G56" i="3" s="1"/>
  <c r="H56" i="3" s="1"/>
  <c r="F55" i="3"/>
  <c r="G55" i="3" s="1"/>
  <c r="H55" i="3" s="1"/>
  <c r="F54" i="3"/>
  <c r="G54" i="3" s="1"/>
  <c r="H54" i="3" s="1"/>
  <c r="F53" i="3"/>
  <c r="G53" i="3" s="1"/>
  <c r="H53" i="3" s="1"/>
  <c r="F51" i="3"/>
  <c r="G51" i="3" s="1"/>
  <c r="H51" i="3" s="1"/>
  <c r="F50" i="3"/>
  <c r="G50" i="3" s="1"/>
  <c r="H50" i="3" s="1"/>
  <c r="F49" i="3"/>
  <c r="G49" i="3" s="1"/>
  <c r="H49" i="3" s="1"/>
  <c r="F48" i="3"/>
  <c r="G48" i="3" s="1"/>
  <c r="H48" i="3" s="1"/>
  <c r="F47" i="3"/>
  <c r="G47" i="3" s="1"/>
  <c r="H47" i="3" s="1"/>
  <c r="F46" i="3"/>
  <c r="G46" i="3" s="1"/>
  <c r="H46" i="3" s="1"/>
  <c r="F44" i="3"/>
  <c r="G44" i="3" s="1"/>
  <c r="H44" i="3" s="1"/>
  <c r="F43" i="3"/>
  <c r="G43" i="3" s="1"/>
  <c r="H43" i="3" s="1"/>
  <c r="F42" i="3"/>
  <c r="G42" i="3" s="1"/>
  <c r="H42" i="3" s="1"/>
  <c r="F41" i="3"/>
  <c r="G41" i="3" s="1"/>
  <c r="H41" i="3" s="1"/>
  <c r="F40" i="3"/>
  <c r="G40" i="3" s="1"/>
  <c r="H40" i="3" s="1"/>
  <c r="F39" i="3"/>
  <c r="G39" i="3" s="1"/>
  <c r="H39" i="3" s="1"/>
  <c r="F38" i="3"/>
  <c r="G38" i="3" s="1"/>
  <c r="H38" i="3" s="1"/>
  <c r="F37" i="3"/>
  <c r="G37" i="3" s="1"/>
  <c r="H37" i="3" s="1"/>
  <c r="F36" i="3"/>
  <c r="G36" i="3" s="1"/>
  <c r="H36" i="3" s="1"/>
  <c r="F34" i="3"/>
  <c r="G34" i="3" s="1"/>
  <c r="H34" i="3" s="1"/>
  <c r="F33" i="3"/>
  <c r="G33" i="3" s="1"/>
  <c r="H33" i="3" s="1"/>
  <c r="F32" i="3"/>
  <c r="G32" i="3" s="1"/>
  <c r="H32" i="3" s="1"/>
  <c r="F31" i="3"/>
  <c r="G31" i="3" s="1"/>
  <c r="H31" i="3" s="1"/>
  <c r="F30" i="3"/>
  <c r="G30" i="3" s="1"/>
  <c r="H30" i="3" s="1"/>
  <c r="F29" i="3"/>
  <c r="G29" i="3" s="1"/>
  <c r="H29" i="3" s="1"/>
  <c r="F28" i="3"/>
  <c r="G28" i="3" s="1"/>
  <c r="H28" i="3" s="1"/>
  <c r="F27" i="3"/>
  <c r="G27" i="3" s="1"/>
  <c r="H27" i="3" s="1"/>
  <c r="G26" i="3"/>
  <c r="H26" i="3" s="1"/>
  <c r="F26" i="3"/>
  <c r="F24" i="3"/>
  <c r="G24" i="3" s="1"/>
  <c r="H24" i="3" s="1"/>
  <c r="F23" i="3"/>
  <c r="G23" i="3" s="1"/>
  <c r="H23" i="3" s="1"/>
  <c r="F22" i="3"/>
  <c r="G22" i="3" s="1"/>
  <c r="H22" i="3" s="1"/>
  <c r="G21" i="3"/>
  <c r="H21" i="3" s="1"/>
  <c r="F21" i="3"/>
  <c r="F20" i="3"/>
  <c r="G20" i="3" s="1"/>
  <c r="H20" i="3" s="1"/>
  <c r="F19" i="3"/>
  <c r="G19" i="3" s="1"/>
  <c r="H19" i="3" s="1"/>
  <c r="F18" i="3"/>
  <c r="G18" i="3" s="1"/>
  <c r="H18" i="3" s="1"/>
  <c r="G17" i="3"/>
  <c r="H17" i="3" s="1"/>
  <c r="F17" i="3"/>
  <c r="H12" i="3"/>
  <c r="H11" i="3"/>
  <c r="H10" i="3"/>
  <c r="H9" i="3"/>
  <c r="H4" i="3"/>
  <c r="F15" i="3"/>
  <c r="H15" i="3" s="1"/>
  <c r="F14" i="3"/>
  <c r="H14" i="3" s="1"/>
  <c r="F13" i="3"/>
  <c r="H13" i="3" s="1"/>
  <c r="F12" i="3"/>
  <c r="F11" i="3"/>
  <c r="F10" i="3"/>
  <c r="F9" i="3"/>
  <c r="F8" i="3"/>
  <c r="H8" i="3" s="1"/>
  <c r="F7" i="3"/>
  <c r="F6" i="3"/>
  <c r="G6" i="3" s="1"/>
  <c r="H6" i="3" s="1"/>
  <c r="F5" i="3"/>
  <c r="G5" i="3" s="1"/>
  <c r="H5" i="3" s="1"/>
  <c r="H7" i="3" l="1"/>
  <c r="H74" i="3"/>
</calcChain>
</file>

<file path=xl/sharedStrings.xml><?xml version="1.0" encoding="utf-8"?>
<sst xmlns="http://schemas.openxmlformats.org/spreadsheetml/2006/main" count="374" uniqueCount="177">
  <si>
    <r>
      <rPr>
        <b/>
        <sz val="6.5"/>
        <rFont val="Verdana"/>
        <family val="2"/>
      </rPr>
      <t>PRICE LIST W.E.F  FROM  1ST JULY-2026   WITH 18% GST</t>
    </r>
  </si>
  <si>
    <r>
      <rPr>
        <b/>
        <sz val="6.5"/>
        <rFont val="Arial"/>
        <family val="2"/>
      </rPr>
      <t>TSI/TSR NAME:                                         MOB:                                     DISTRIBUTOR NAME:                                      MOB:</t>
    </r>
  </si>
  <si>
    <r>
      <rPr>
        <b/>
        <sz val="7.5"/>
        <rFont val="Verdana"/>
        <family val="2"/>
      </rPr>
      <t>ITEM</t>
    </r>
  </si>
  <si>
    <r>
      <rPr>
        <b/>
        <sz val="6.5"/>
        <rFont val="Verdana"/>
        <family val="2"/>
      </rPr>
      <t>BASIC PRICE</t>
    </r>
  </si>
  <si>
    <r>
      <rPr>
        <b/>
        <sz val="5.5"/>
        <rFont val="Verdana"/>
        <family val="2"/>
      </rPr>
      <t>DLP INCLUDING GST 18%</t>
    </r>
  </si>
  <si>
    <r>
      <rPr>
        <b/>
        <sz val="7.5"/>
        <rFont val="Verdana"/>
        <family val="2"/>
      </rPr>
      <t>M.R.P</t>
    </r>
  </si>
  <si>
    <r>
      <rPr>
        <b/>
        <sz val="6.5"/>
        <rFont val="Arial"/>
        <family val="2"/>
      </rPr>
      <t>FEVICOL SH</t>
    </r>
  </si>
  <si>
    <r>
      <rPr>
        <b/>
        <sz val="6.5"/>
        <rFont val="Arial"/>
        <family val="2"/>
      </rPr>
      <t>HIPER STAR</t>
    </r>
  </si>
  <si>
    <r>
      <rPr>
        <b/>
        <sz val="6.5"/>
        <rFont val="Arial"/>
        <family val="2"/>
      </rPr>
      <t>60Kgs.</t>
    </r>
  </si>
  <si>
    <r>
      <rPr>
        <b/>
        <sz val="6.5"/>
        <rFont val="Arial"/>
        <family val="2"/>
      </rPr>
      <t>50Kgs.</t>
    </r>
  </si>
  <si>
    <r>
      <rPr>
        <b/>
        <sz val="6.5"/>
        <rFont val="Arial"/>
        <family val="2"/>
      </rPr>
      <t>50 Kgs.</t>
    </r>
  </si>
  <si>
    <r>
      <rPr>
        <b/>
        <sz val="6.5"/>
        <rFont val="Arial"/>
        <family val="2"/>
      </rPr>
      <t>20 Kgs.</t>
    </r>
  </si>
  <si>
    <r>
      <rPr>
        <b/>
        <sz val="6.5"/>
        <rFont val="Arial"/>
        <family val="2"/>
      </rPr>
      <t>30 Kgs.</t>
    </r>
  </si>
  <si>
    <r>
      <rPr>
        <b/>
        <sz val="6.5"/>
        <rFont val="Arial"/>
        <family val="2"/>
      </rPr>
      <t>10 Kgs.</t>
    </r>
  </si>
  <si>
    <r>
      <rPr>
        <b/>
        <sz val="6.5"/>
        <rFont val="Arial"/>
        <family val="2"/>
      </rPr>
      <t>5 Kgs</t>
    </r>
  </si>
  <si>
    <r>
      <rPr>
        <b/>
        <sz val="6.5"/>
        <rFont val="Arial"/>
        <family val="2"/>
      </rPr>
      <t>2 Kgs</t>
    </r>
  </si>
  <si>
    <r>
      <rPr>
        <b/>
        <sz val="6.5"/>
        <rFont val="Arial"/>
        <family val="2"/>
      </rPr>
      <t>5 Kgs.</t>
    </r>
  </si>
  <si>
    <r>
      <rPr>
        <b/>
        <sz val="6.5"/>
        <rFont val="Arial"/>
        <family val="2"/>
      </rPr>
      <t>1Kgs</t>
    </r>
  </si>
  <si>
    <r>
      <rPr>
        <b/>
        <sz val="6.5"/>
        <rFont val="Arial"/>
        <family val="2"/>
      </rPr>
      <t>2 Kgs.</t>
    </r>
  </si>
  <si>
    <r>
      <rPr>
        <b/>
        <sz val="6.5"/>
        <rFont val="Arial"/>
        <family val="2"/>
      </rPr>
      <t>BULBOND LC</t>
    </r>
  </si>
  <si>
    <r>
      <rPr>
        <b/>
        <sz val="6.5"/>
        <rFont val="Arial"/>
        <family val="2"/>
      </rPr>
      <t>1 Kg.</t>
    </r>
  </si>
  <si>
    <r>
      <rPr>
        <b/>
        <sz val="6.5"/>
        <rFont val="Arial"/>
        <family val="2"/>
      </rPr>
      <t>500 Gms.</t>
    </r>
  </si>
  <si>
    <r>
      <rPr>
        <b/>
        <sz val="6.5"/>
        <rFont val="Arial"/>
        <family val="2"/>
      </rPr>
      <t>250 Gms.</t>
    </r>
  </si>
  <si>
    <r>
      <rPr>
        <b/>
        <sz val="6.5"/>
        <rFont val="Arial"/>
        <family val="2"/>
      </rPr>
      <t>125 Gms.</t>
    </r>
  </si>
  <si>
    <r>
      <rPr>
        <b/>
        <sz val="6.5"/>
        <rFont val="Arial"/>
        <family val="2"/>
      </rPr>
      <t>50 Gms.</t>
    </r>
  </si>
  <si>
    <r>
      <rPr>
        <b/>
        <sz val="6"/>
        <rFont val="Arial"/>
        <family val="2"/>
      </rPr>
      <t>1 Kg.( Pouch)</t>
    </r>
  </si>
  <si>
    <r>
      <rPr>
        <b/>
        <sz val="6.5"/>
        <rFont val="Arial"/>
        <family val="2"/>
      </rPr>
      <t>FEVICOL SPEEDX</t>
    </r>
  </si>
  <si>
    <r>
      <rPr>
        <b/>
        <sz val="6"/>
        <rFont val="Arial"/>
        <family val="2"/>
      </rPr>
      <t>500 GM (Pouch)</t>
    </r>
  </si>
  <si>
    <r>
      <rPr>
        <b/>
        <sz val="6.5"/>
        <rFont val="Arial"/>
        <family val="2"/>
      </rPr>
      <t>BULBOND XTRA</t>
    </r>
  </si>
  <si>
    <r>
      <rPr>
        <b/>
        <sz val="6.5"/>
        <rFont val="Arial"/>
        <family val="2"/>
      </rPr>
      <t>1 Kgs.</t>
    </r>
  </si>
  <si>
    <r>
      <rPr>
        <b/>
        <sz val="6.5"/>
        <rFont val="Arial"/>
        <family val="2"/>
      </rPr>
      <t>500GM</t>
    </r>
  </si>
  <si>
    <r>
      <rPr>
        <b/>
        <sz val="6.5"/>
        <rFont val="Arial"/>
        <family val="2"/>
      </rPr>
      <t>FEVICOL MARINE</t>
    </r>
  </si>
  <si>
    <r>
      <rPr>
        <b/>
        <sz val="6"/>
        <rFont val="Arial"/>
        <family val="2"/>
      </rPr>
      <t>500 GM</t>
    </r>
  </si>
  <si>
    <r>
      <rPr>
        <b/>
        <sz val="6.5"/>
        <rFont val="Arial"/>
        <family val="2"/>
      </rPr>
      <t>60 Kgs.</t>
    </r>
  </si>
  <si>
    <r>
      <rPr>
        <b/>
        <sz val="6.5"/>
        <rFont val="Arial"/>
        <family val="2"/>
      </rPr>
      <t>GRIPPO WG</t>
    </r>
  </si>
  <si>
    <r>
      <rPr>
        <b/>
        <sz val="6.5"/>
        <rFont val="Arial"/>
        <family val="2"/>
      </rPr>
      <t>10 Kg</t>
    </r>
  </si>
  <si>
    <r>
      <rPr>
        <b/>
        <sz val="6"/>
        <rFont val="Arial"/>
        <family val="2"/>
      </rPr>
      <t>1 Kg.( Pouch )</t>
    </r>
  </si>
  <si>
    <r>
      <rPr>
        <b/>
        <sz val="6.5"/>
        <rFont val="Arial"/>
        <family val="2"/>
      </rPr>
      <t>FEVICOL EZEE SPRAY</t>
    </r>
  </si>
  <si>
    <r>
      <rPr>
        <b/>
        <sz val="6.5"/>
        <rFont val="Arial"/>
        <family val="2"/>
      </rPr>
      <t>383 GM</t>
    </r>
  </si>
  <si>
    <r>
      <rPr>
        <b/>
        <sz val="6.5"/>
        <rFont val="Arial"/>
        <family val="2"/>
      </rPr>
      <t>FEVICOL HIPER</t>
    </r>
  </si>
  <si>
    <r>
      <rPr>
        <b/>
        <sz val="6.5"/>
        <rFont val="Arial"/>
        <family val="2"/>
      </rPr>
      <t>RELAM</t>
    </r>
  </si>
  <si>
    <r>
      <rPr>
        <b/>
        <sz val="6.5"/>
        <rFont val="Arial"/>
        <family val="2"/>
      </rPr>
      <t>450GM</t>
    </r>
  </si>
  <si>
    <r>
      <rPr>
        <b/>
        <sz val="6.5"/>
        <rFont val="Arial"/>
        <family val="2"/>
      </rPr>
      <t>FEVICOL XPRESS</t>
    </r>
  </si>
  <si>
    <r>
      <rPr>
        <b/>
        <sz val="6.5"/>
        <rFont val="Arial"/>
        <family val="2"/>
      </rPr>
      <t>500 GM</t>
    </r>
  </si>
  <si>
    <r>
      <rPr>
        <b/>
        <sz val="6.5"/>
        <rFont val="Arial"/>
        <family val="2"/>
      </rPr>
      <t>MARINEKOAT (3209)</t>
    </r>
  </si>
  <si>
    <r>
      <rPr>
        <b/>
        <sz val="6.5"/>
        <rFont val="Arial"/>
        <family val="2"/>
      </rPr>
      <t>1 Ltr</t>
    </r>
  </si>
  <si>
    <r>
      <rPr>
        <b/>
        <sz val="6.5"/>
        <rFont val="Arial"/>
        <family val="2"/>
      </rPr>
      <t>500 Ml</t>
    </r>
  </si>
  <si>
    <r>
      <rPr>
        <b/>
        <sz val="6.5"/>
        <rFont val="Arial"/>
        <family val="2"/>
      </rPr>
      <t>Nail Free Ultra 435g</t>
    </r>
  </si>
  <si>
    <r>
      <rPr>
        <b/>
        <sz val="6.5"/>
        <rFont val="Arial"/>
        <family val="2"/>
      </rPr>
      <t>FEVICOL WUDFILL</t>
    </r>
  </si>
  <si>
    <r>
      <rPr>
        <b/>
        <sz val="6.5"/>
        <rFont val="Arial"/>
        <family val="2"/>
      </rPr>
      <t>50GM</t>
    </r>
  </si>
  <si>
    <r>
      <rPr>
        <b/>
        <sz val="6.5"/>
        <rFont val="Arial"/>
        <family val="2"/>
      </rPr>
      <t>FEVICOL HEATX</t>
    </r>
  </si>
  <si>
    <r>
      <rPr>
        <b/>
        <sz val="6.5"/>
        <rFont val="Arial"/>
        <family val="2"/>
      </rPr>
      <t>20GM</t>
    </r>
  </si>
  <si>
    <r>
      <rPr>
        <b/>
        <sz val="6.5"/>
        <rFont val="Arial"/>
        <family val="2"/>
      </rPr>
      <t>5 Ltr.</t>
    </r>
  </si>
  <si>
    <r>
      <rPr>
        <b/>
        <sz val="6.5"/>
        <rFont val="Arial"/>
        <family val="2"/>
      </rPr>
      <t>TERMINATOR WOOD</t>
    </r>
  </si>
  <si>
    <r>
      <rPr>
        <b/>
        <sz val="6.5"/>
        <rFont val="Arial"/>
        <family val="2"/>
      </rPr>
      <t>2 Ltr</t>
    </r>
  </si>
  <si>
    <r>
      <rPr>
        <b/>
        <sz val="6.5"/>
        <rFont val="Arial"/>
        <family val="2"/>
      </rPr>
      <t>5   Ltr.</t>
    </r>
  </si>
  <si>
    <r>
      <rPr>
        <b/>
        <sz val="6.5"/>
        <rFont val="Arial"/>
        <family val="2"/>
      </rPr>
      <t>1 Ltr.</t>
    </r>
  </si>
  <si>
    <r>
      <rPr>
        <b/>
        <sz val="6.5"/>
        <rFont val="Arial"/>
        <family val="2"/>
      </rPr>
      <t>3   Ltr.</t>
    </r>
  </si>
  <si>
    <r>
      <rPr>
        <b/>
        <sz val="6.5"/>
        <rFont val="Arial"/>
        <family val="2"/>
      </rPr>
      <t>500 ML</t>
    </r>
  </si>
  <si>
    <r>
      <rPr>
        <b/>
        <sz val="6.5"/>
        <rFont val="Arial"/>
        <family val="2"/>
      </rPr>
      <t>1   Ltr.</t>
    </r>
  </si>
  <si>
    <r>
      <rPr>
        <b/>
        <sz val="6.5"/>
        <rFont val="Arial"/>
        <family val="2"/>
      </rPr>
      <t>200 ML</t>
    </r>
  </si>
  <si>
    <r>
      <rPr>
        <b/>
        <sz val="6.5"/>
        <rFont val="Arial"/>
        <family val="2"/>
      </rPr>
      <t>500ML</t>
    </r>
  </si>
  <si>
    <r>
      <rPr>
        <b/>
        <sz val="6"/>
        <rFont val="Arial"/>
        <family val="2"/>
      </rPr>
      <t>100 ML</t>
    </r>
  </si>
  <si>
    <r>
      <rPr>
        <b/>
        <sz val="6.5"/>
        <rFont val="Arial"/>
        <family val="2"/>
      </rPr>
      <t>250ML</t>
    </r>
  </si>
  <si>
    <r>
      <rPr>
        <b/>
        <sz val="6.5"/>
        <rFont val="Arial"/>
        <family val="2"/>
      </rPr>
      <t>FEVICOL SR 998</t>
    </r>
  </si>
  <si>
    <r>
      <rPr>
        <b/>
        <sz val="6.5"/>
        <rFont val="Arial"/>
        <family val="2"/>
      </rPr>
      <t>100ML</t>
    </r>
  </si>
  <si>
    <r>
      <rPr>
        <b/>
        <sz val="6.5"/>
        <rFont val="Arial"/>
        <family val="2"/>
      </rPr>
      <t>25 Ltr.</t>
    </r>
  </si>
  <si>
    <r>
      <rPr>
        <b/>
        <sz val="6.5"/>
        <rFont val="Arial"/>
        <family val="2"/>
      </rPr>
      <t>1 Ltr Spray</t>
    </r>
  </si>
  <si>
    <r>
      <rPr>
        <b/>
        <sz val="6.5"/>
        <rFont val="Arial"/>
        <family val="2"/>
      </rPr>
      <t>500 ML Spray</t>
    </r>
  </si>
  <si>
    <r>
      <rPr>
        <b/>
        <sz val="6.5"/>
        <rFont val="Arial"/>
        <family val="2"/>
      </rPr>
      <t>2   Ltr.</t>
    </r>
  </si>
  <si>
    <r>
      <rPr>
        <b/>
        <sz val="6.5"/>
        <rFont val="Arial"/>
        <family val="2"/>
      </rPr>
      <t>320 ML  Spray</t>
    </r>
  </si>
  <si>
    <r>
      <rPr>
        <b/>
        <sz val="6.5"/>
        <rFont val="Arial"/>
        <family val="2"/>
      </rPr>
      <t>TERMINATOR STRUCTURE</t>
    </r>
  </si>
  <si>
    <r>
      <rPr>
        <b/>
        <sz val="6.5"/>
        <rFont val="Arial"/>
        <family val="2"/>
      </rPr>
      <t>200ML</t>
    </r>
  </si>
  <si>
    <r>
      <rPr>
        <b/>
        <sz val="6.5"/>
        <rFont val="Arial"/>
        <family val="2"/>
      </rPr>
      <t>FEVICOL PROBOND</t>
    </r>
  </si>
  <si>
    <r>
      <rPr>
        <b/>
        <sz val="6.5"/>
        <rFont val="Arial"/>
        <family val="2"/>
      </rPr>
      <t>FEVI KWIK 463</t>
    </r>
  </si>
  <si>
    <r>
      <rPr>
        <b/>
        <sz val="6.5"/>
        <rFont val="Arial"/>
        <family val="2"/>
      </rPr>
      <t>20kgs</t>
    </r>
  </si>
  <si>
    <r>
      <rPr>
        <b/>
        <sz val="6.5"/>
        <rFont val="Arial"/>
        <family val="2"/>
      </rPr>
      <t>125GM</t>
    </r>
  </si>
  <si>
    <r>
      <rPr>
        <b/>
        <sz val="6.5"/>
        <rFont val="Arial"/>
        <family val="2"/>
      </rPr>
      <t>250GM</t>
    </r>
  </si>
  <si>
    <r>
      <rPr>
        <b/>
        <sz val="6.5"/>
        <rFont val="Arial"/>
        <family val="2"/>
      </rPr>
      <t>FEVICOL X-PER</t>
    </r>
  </si>
  <si>
    <r>
      <rPr>
        <b/>
        <sz val="6.5"/>
        <rFont val="Arial"/>
        <family val="2"/>
      </rPr>
      <t>500 gm</t>
    </r>
  </si>
  <si>
    <r>
      <rPr>
        <b/>
        <sz val="6.5"/>
        <rFont val="Arial"/>
        <family val="2"/>
      </rPr>
      <t>800GM</t>
    </r>
  </si>
  <si>
    <r>
      <rPr>
        <b/>
        <sz val="6.5"/>
        <rFont val="Arial"/>
        <family val="2"/>
      </rPr>
      <t>EDGELOK</t>
    </r>
  </si>
  <si>
    <r>
      <rPr>
        <b/>
        <sz val="6.5"/>
        <rFont val="Arial"/>
        <family val="2"/>
      </rPr>
      <t>Plastilok 450GM</t>
    </r>
  </si>
  <si>
    <r>
      <rPr>
        <b/>
        <sz val="6.5"/>
        <rFont val="Arial"/>
        <family val="2"/>
      </rPr>
      <t>1K PUR 500GM</t>
    </r>
  </si>
  <si>
    <r>
      <rPr>
        <b/>
        <sz val="6.5"/>
        <rFont val="Verdana"/>
        <family val="2"/>
      </rPr>
      <t>HAMARA BISWAS SIRF FEVICOL</t>
    </r>
  </si>
  <si>
    <r>
      <rPr>
        <b/>
        <sz val="7.5"/>
        <rFont val="Arial"/>
        <family val="2"/>
      </rPr>
      <t>TSI/TSR MOB:                                                   PRICE LIST W.E.F FROM 1ST JULY-2026 WITH 18% GST</t>
    </r>
  </si>
  <si>
    <r>
      <rPr>
        <b/>
        <sz val="7.5"/>
        <rFont val="Arial"/>
        <family val="2"/>
      </rPr>
      <t>ITEM</t>
    </r>
  </si>
  <si>
    <r>
      <rPr>
        <b/>
        <sz val="5.5"/>
        <rFont val="Verdana"/>
        <family val="2"/>
      </rPr>
      <t>DLP INCLUDING TAX 18%</t>
    </r>
  </si>
  <si>
    <r>
      <rPr>
        <b/>
        <sz val="6.5"/>
        <rFont val="Arial"/>
        <family val="2"/>
      </rPr>
      <t>Fevicol SR 505</t>
    </r>
  </si>
  <si>
    <r>
      <rPr>
        <b/>
        <sz val="6.5"/>
        <rFont val="Arial"/>
        <family val="2"/>
      </rPr>
      <t>DDL BINDER</t>
    </r>
  </si>
  <si>
    <r>
      <rPr>
        <b/>
        <sz val="6.5"/>
        <rFont val="Arial"/>
        <family val="2"/>
      </rPr>
      <t>1 KG (PP)</t>
    </r>
  </si>
  <si>
    <r>
      <rPr>
        <b/>
        <sz val="6.5"/>
        <rFont val="Arial"/>
        <family val="2"/>
      </rPr>
      <t>500 GM (PP)</t>
    </r>
  </si>
  <si>
    <r>
      <rPr>
        <b/>
        <sz val="6.5"/>
        <rFont val="Arial"/>
        <family val="2"/>
      </rPr>
      <t>250 GM (PP)</t>
    </r>
  </si>
  <si>
    <r>
      <rPr>
        <b/>
        <sz val="6.5"/>
        <rFont val="Arial"/>
        <family val="2"/>
      </rPr>
      <t>125 GM (PP)</t>
    </r>
  </si>
  <si>
    <r>
      <rPr>
        <b/>
        <sz val="6.5"/>
        <rFont val="Arial"/>
        <family val="2"/>
      </rPr>
      <t>DDL PREMIUM DISTEMPER  1 KG POUCH</t>
    </r>
  </si>
  <si>
    <r>
      <rPr>
        <b/>
        <sz val="6.5"/>
        <rFont val="Arial"/>
        <family val="2"/>
      </rPr>
      <t>MOTI</t>
    </r>
  </si>
  <si>
    <r>
      <rPr>
        <b/>
        <sz val="6.5"/>
        <rFont val="Arial"/>
        <family val="2"/>
      </rPr>
      <t>Colour Shade</t>
    </r>
  </si>
  <si>
    <r>
      <rPr>
        <b/>
        <sz val="6.5"/>
        <rFont val="Arial"/>
        <family val="2"/>
      </rPr>
      <t>Fevicol Foamfix</t>
    </r>
  </si>
  <si>
    <r>
      <rPr>
        <b/>
        <sz val="6.5"/>
        <rFont val="Arial"/>
        <family val="2"/>
      </rPr>
      <t>Border</t>
    </r>
  </si>
  <si>
    <r>
      <rPr>
        <b/>
        <sz val="6.5"/>
        <rFont val="Arial"/>
        <family val="2"/>
      </rPr>
      <t>PIDITINT</t>
    </r>
  </si>
  <si>
    <r>
      <rPr>
        <b/>
        <sz val="6.5"/>
        <rFont val="Arial"/>
        <family val="2"/>
      </rPr>
      <t>100 ML</t>
    </r>
  </si>
  <si>
    <r>
      <rPr>
        <b/>
        <sz val="6.5"/>
        <rFont val="Arial"/>
        <family val="2"/>
      </rPr>
      <t>50 ML</t>
    </r>
  </si>
  <si>
    <r>
      <rPr>
        <b/>
        <sz val="6.5"/>
        <rFont val="Arial"/>
        <family val="2"/>
      </rPr>
      <t>UNITINT ( GR-I )</t>
    </r>
  </si>
  <si>
    <r>
      <rPr>
        <b/>
        <sz val="6.5"/>
        <rFont val="Arial"/>
        <family val="2"/>
      </rPr>
      <t>BEJOD NO.1</t>
    </r>
  </si>
  <si>
    <r>
      <rPr>
        <b/>
        <sz val="6.5"/>
        <rFont val="Arial"/>
        <family val="2"/>
      </rPr>
      <t>4.5 Ltr</t>
    </r>
  </si>
  <si>
    <r>
      <rPr>
        <b/>
        <sz val="6.5"/>
        <rFont val="Arial"/>
        <family val="2"/>
      </rPr>
      <t>900 Ml</t>
    </r>
  </si>
  <si>
    <r>
      <rPr>
        <b/>
        <sz val="6.5"/>
        <rFont val="Arial"/>
        <family val="2"/>
      </rPr>
      <t>UNITINT ( GR-II )</t>
    </r>
  </si>
  <si>
    <r>
      <rPr>
        <b/>
        <sz val="6.5"/>
        <rFont val="Arial"/>
        <family val="2"/>
      </rPr>
      <t>FEVICOL FAST TACK</t>
    </r>
  </si>
  <si>
    <r>
      <rPr>
        <b/>
        <sz val="6.5"/>
        <rFont val="Arial"/>
        <family val="2"/>
      </rPr>
      <t>25Ltr</t>
    </r>
  </si>
  <si>
    <r>
      <rPr>
        <b/>
        <sz val="6.5"/>
        <rFont val="Arial"/>
        <family val="2"/>
      </rPr>
      <t>15 Ltr</t>
    </r>
  </si>
  <si>
    <r>
      <rPr>
        <b/>
        <sz val="6.5"/>
        <rFont val="Arial"/>
        <family val="2"/>
      </rPr>
      <t>8 Ltr</t>
    </r>
  </si>
  <si>
    <r>
      <rPr>
        <b/>
        <sz val="6.5"/>
        <rFont val="Arial"/>
        <family val="2"/>
      </rPr>
      <t>WUDFIN -   WUDSTAIN</t>
    </r>
  </si>
  <si>
    <r>
      <rPr>
        <b/>
        <sz val="6.5"/>
        <rFont val="Arial"/>
        <family val="2"/>
      </rPr>
      <t>4 Ltr</t>
    </r>
  </si>
  <si>
    <r>
      <rPr>
        <b/>
        <sz val="6.5"/>
        <rFont val="Arial"/>
        <family val="2"/>
      </rPr>
      <t>5 Ltr</t>
    </r>
  </si>
  <si>
    <r>
      <rPr>
        <b/>
        <sz val="6"/>
        <rFont val="Arial"/>
        <family val="2"/>
      </rPr>
      <t>FEVICOL FLOORFIX CP</t>
    </r>
  </si>
  <si>
    <r>
      <rPr>
        <b/>
        <sz val="6.5"/>
        <rFont val="Arial"/>
        <family val="2"/>
      </rPr>
      <t>20 KG</t>
    </r>
  </si>
  <si>
    <r>
      <rPr>
        <b/>
        <sz val="6.5"/>
        <rFont val="Arial"/>
        <family val="2"/>
      </rPr>
      <t>100 ml</t>
    </r>
  </si>
  <si>
    <r>
      <rPr>
        <b/>
        <sz val="6.5"/>
        <rFont val="Arial"/>
        <family val="2"/>
      </rPr>
      <t>10 KG</t>
    </r>
  </si>
  <si>
    <r>
      <rPr>
        <b/>
        <sz val="6.5"/>
        <rFont val="Arial"/>
        <family val="2"/>
      </rPr>
      <t>WUDFIN PU 11 - CLEAR</t>
    </r>
  </si>
  <si>
    <r>
      <rPr>
        <b/>
        <sz val="6.5"/>
        <rFont val="Arial"/>
        <family val="2"/>
      </rPr>
      <t>5 KG</t>
    </r>
  </si>
  <si>
    <r>
      <rPr>
        <b/>
        <sz val="6.5"/>
        <rFont val="Arial"/>
        <family val="2"/>
      </rPr>
      <t>4 Ltr.</t>
    </r>
  </si>
  <si>
    <r>
      <rPr>
        <b/>
        <sz val="6.5"/>
        <rFont val="Arial"/>
        <family val="2"/>
      </rPr>
      <t>BULBOND SR 60 FW</t>
    </r>
  </si>
  <si>
    <r>
      <rPr>
        <b/>
        <sz val="6.5"/>
        <rFont val="Arial"/>
        <family val="2"/>
      </rPr>
      <t>WUDFIN PU 11 - COLOR</t>
    </r>
  </si>
  <si>
    <r>
      <rPr>
        <b/>
        <sz val="6.5"/>
        <rFont val="Arial"/>
        <family val="2"/>
      </rPr>
      <t>SP 4 25Ltr</t>
    </r>
  </si>
  <si>
    <r>
      <rPr>
        <b/>
        <sz val="6.5"/>
        <rFont val="Arial"/>
        <family val="2"/>
      </rPr>
      <t>25 Ltr</t>
    </r>
  </si>
  <si>
    <r>
      <rPr>
        <b/>
        <sz val="6.5"/>
        <rFont val="Arial"/>
        <family val="2"/>
      </rPr>
      <t>SP 5 30Ltr</t>
    </r>
  </si>
  <si>
    <r>
      <rPr>
        <b/>
        <sz val="6.5"/>
        <rFont val="Arial"/>
        <family val="2"/>
      </rPr>
      <t>SHOWCASE-URETHENE PLUS+COLOUR(EXTERIOR)</t>
    </r>
  </si>
  <si>
    <r>
      <rPr>
        <b/>
        <sz val="6.5"/>
        <rFont val="Arial"/>
        <family val="2"/>
      </rPr>
      <t>30 Ltr</t>
    </r>
  </si>
  <si>
    <r>
      <rPr>
        <b/>
        <sz val="6.5"/>
        <rFont val="Arial"/>
        <family val="2"/>
      </rPr>
      <t>FEVICOL POWERLOCCK</t>
    </r>
  </si>
  <si>
    <r>
      <rPr>
        <b/>
        <sz val="6.5"/>
        <rFont val="Arial"/>
        <family val="2"/>
      </rPr>
      <t>320 GM</t>
    </r>
  </si>
  <si>
    <r>
      <rPr>
        <b/>
        <sz val="6.5"/>
        <rFont val="Arial"/>
        <family val="2"/>
      </rPr>
      <t>FEVISEAL PU Foam</t>
    </r>
  </si>
  <si>
    <r>
      <rPr>
        <b/>
        <sz val="6.5"/>
        <rFont val="Arial"/>
        <family val="2"/>
      </rPr>
      <t>720 GM</t>
    </r>
  </si>
  <si>
    <r>
      <rPr>
        <b/>
        <sz val="6.5"/>
        <rFont val="Arial"/>
        <family val="2"/>
      </rPr>
      <t>SHOWCASE - EXTERIOR ( SATIN )</t>
    </r>
  </si>
  <si>
    <r>
      <rPr>
        <b/>
        <sz val="6.5"/>
        <rFont val="Arial"/>
        <family val="2"/>
      </rPr>
      <t>MISTREEJI RANDHA</t>
    </r>
  </si>
  <si>
    <r>
      <rPr>
        <b/>
        <sz val="6.5"/>
        <rFont val="Arial"/>
        <family val="2"/>
      </rPr>
      <t>Randha 5.5"</t>
    </r>
  </si>
  <si>
    <r>
      <rPr>
        <b/>
        <sz val="6.5"/>
        <rFont val="Arial"/>
        <family val="2"/>
      </rPr>
      <t>Randha 7"</t>
    </r>
  </si>
  <si>
    <r>
      <rPr>
        <b/>
        <sz val="6.5"/>
        <rFont val="Arial"/>
        <family val="2"/>
      </rPr>
      <t>Randha 14"</t>
    </r>
  </si>
  <si>
    <r>
      <rPr>
        <b/>
        <sz val="6.5"/>
        <rFont val="Arial"/>
        <family val="2"/>
      </rPr>
      <t>MISTREEJI SCREWDRIVER</t>
    </r>
  </si>
  <si>
    <r>
      <rPr>
        <b/>
        <sz val="6.5"/>
        <rFont val="Arial"/>
        <family val="2"/>
      </rPr>
      <t>SHOWCASE AQUASEAL</t>
    </r>
  </si>
  <si>
    <r>
      <rPr>
        <b/>
        <sz val="6.5"/>
        <rFont val="Arial"/>
        <family val="2"/>
      </rPr>
      <t>2 IN 1 250</t>
    </r>
  </si>
  <si>
    <r>
      <rPr>
        <b/>
        <sz val="6.5"/>
        <rFont val="Arial"/>
        <family val="2"/>
      </rPr>
      <t>2 IN 1 150</t>
    </r>
  </si>
  <si>
    <r>
      <rPr>
        <b/>
        <sz val="6.5"/>
        <rFont val="Arial"/>
        <family val="2"/>
      </rPr>
      <t>2 IN 1 100</t>
    </r>
  </si>
  <si>
    <r>
      <rPr>
        <b/>
        <sz val="6.5"/>
        <rFont val="Arial"/>
        <family val="2"/>
      </rPr>
      <t>SHOWCASE PU GLOSS</t>
    </r>
  </si>
  <si>
    <r>
      <rPr>
        <b/>
        <sz val="6.5"/>
        <rFont val="Arial"/>
        <family val="2"/>
      </rPr>
      <t>MISTREEJI HEAVY DUTY GUN</t>
    </r>
  </si>
  <si>
    <r>
      <rPr>
        <b/>
        <sz val="6"/>
        <rFont val="Arial"/>
        <family val="2"/>
      </rPr>
      <t>HEAVY DUTY GUN</t>
    </r>
  </si>
  <si>
    <r>
      <rPr>
        <b/>
        <sz val="6.5"/>
        <rFont val="Arial"/>
        <family val="2"/>
      </rPr>
      <t>4LTR</t>
    </r>
  </si>
  <si>
    <r>
      <rPr>
        <b/>
        <sz val="6.5"/>
        <rFont val="Arial"/>
        <family val="2"/>
      </rPr>
      <t>MISTREEJI LOW DUTY GUN</t>
    </r>
  </si>
  <si>
    <r>
      <rPr>
        <b/>
        <sz val="6.5"/>
        <rFont val="Arial"/>
        <family val="2"/>
      </rPr>
      <t>30LTR</t>
    </r>
  </si>
  <si>
    <r>
      <rPr>
        <b/>
        <sz val="6.5"/>
        <rFont val="Arial"/>
        <family val="2"/>
      </rPr>
      <t>LOW DUTY GUN</t>
    </r>
  </si>
  <si>
    <r>
      <rPr>
        <b/>
        <sz val="6"/>
        <rFont val="Arial"/>
        <family val="2"/>
      </rPr>
      <t>SHOWCASE PU MATT</t>
    </r>
  </si>
  <si>
    <r>
      <rPr>
        <b/>
        <sz val="6.5"/>
        <rFont val="Arial"/>
        <family val="2"/>
      </rPr>
      <t>FEVISEAL GP</t>
    </r>
  </si>
  <si>
    <r>
      <rPr>
        <b/>
        <sz val="6.5"/>
        <rFont val="Arial"/>
        <family val="2"/>
      </rPr>
      <t>GP CLEAR 260ML</t>
    </r>
  </si>
  <si>
    <r>
      <rPr>
        <b/>
        <sz val="6.5"/>
        <rFont val="Arial"/>
        <family val="2"/>
      </rPr>
      <t>FEVISEAL GP PRO</t>
    </r>
  </si>
  <si>
    <r>
      <rPr>
        <b/>
        <sz val="6.5"/>
        <rFont val="Arial"/>
        <family val="2"/>
      </rPr>
      <t>30 Ltr.</t>
    </r>
  </si>
  <si>
    <r>
      <rPr>
        <b/>
        <sz val="6.5"/>
        <rFont val="Arial"/>
        <family val="2"/>
      </rPr>
      <t>ALL COLOUR</t>
    </r>
  </si>
  <si>
    <r>
      <rPr>
        <b/>
        <sz val="6.5"/>
        <rFont val="Arial"/>
        <family val="2"/>
      </rPr>
      <t>SHOWCASE PU SEALER</t>
    </r>
  </si>
  <si>
    <r>
      <rPr>
        <b/>
        <sz val="6.5"/>
        <rFont val="Arial"/>
        <family val="2"/>
      </rPr>
      <t>FEVISEAL NEUTRAL PRO</t>
    </r>
  </si>
  <si>
    <r>
      <rPr>
        <b/>
        <sz val="6.5"/>
        <rFont val="Arial"/>
        <family val="2"/>
      </rPr>
      <t>Clear,White,Black</t>
    </r>
  </si>
  <si>
    <r>
      <rPr>
        <b/>
        <sz val="6.5"/>
        <rFont val="Arial"/>
        <family val="2"/>
      </rPr>
      <t>FEVISEAL WEATHERPROOF PRO</t>
    </r>
  </si>
  <si>
    <r>
      <rPr>
        <b/>
        <sz val="6.5"/>
        <rFont val="Arial"/>
        <family val="2"/>
      </rPr>
      <t>30Ltr.</t>
    </r>
  </si>
  <si>
    <r>
      <rPr>
        <b/>
        <sz val="6.5"/>
        <rFont val="Arial"/>
        <family val="2"/>
      </rPr>
      <t>WUDFIN MELAMINE STND - SATIN</t>
    </r>
  </si>
  <si>
    <r>
      <rPr>
        <b/>
        <sz val="6"/>
        <rFont val="Arial"/>
        <family val="2"/>
      </rPr>
      <t>FEVISEAL ACRYLIC SEALANT BATHROOM &amp; KITCHEN</t>
    </r>
  </si>
  <si>
    <r>
      <rPr>
        <b/>
        <sz val="6.5"/>
        <rFont val="Arial"/>
        <family val="2"/>
      </rPr>
      <t>20 Ltr.</t>
    </r>
  </si>
  <si>
    <r>
      <rPr>
        <b/>
        <sz val="6.5"/>
        <rFont val="Arial"/>
        <family val="2"/>
      </rPr>
      <t>WHITE COLOUR</t>
    </r>
  </si>
  <si>
    <r>
      <rPr>
        <b/>
        <sz val="6.5"/>
        <rFont val="Arial"/>
        <family val="2"/>
      </rPr>
      <t>FEVISEAL ACRYLIC SEALANT MULTIPURPOSE</t>
    </r>
  </si>
  <si>
    <r>
      <rPr>
        <b/>
        <sz val="6.5"/>
        <rFont val="Arial"/>
        <family val="2"/>
      </rPr>
      <t>WUDFIN MELAMINE STANDARD - MATT</t>
    </r>
  </si>
  <si>
    <r>
      <rPr>
        <b/>
        <sz val="6.5"/>
        <rFont val="Arial"/>
        <family val="2"/>
      </rPr>
      <t>FLEX KWIK</t>
    </r>
  </si>
  <si>
    <r>
      <rPr>
        <b/>
        <sz val="6.5"/>
        <rFont val="Arial"/>
        <family val="2"/>
      </rPr>
      <t>20 GM</t>
    </r>
  </si>
  <si>
    <r>
      <rPr>
        <b/>
        <sz val="6.5"/>
        <rFont val="Arial"/>
        <family val="2"/>
      </rPr>
      <t>50 GM</t>
    </r>
  </si>
  <si>
    <r>
      <rPr>
        <b/>
        <sz val="6.5"/>
        <rFont val="Arial"/>
        <family val="2"/>
      </rPr>
      <t>FAST [20 GM]</t>
    </r>
  </si>
  <si>
    <r>
      <rPr>
        <b/>
        <sz val="6.5"/>
        <rFont val="Arial"/>
        <family val="2"/>
      </rPr>
      <t>WUDFIN MELAMINE STANDARD - GLOSS</t>
    </r>
  </si>
  <si>
    <r>
      <rPr>
        <b/>
        <sz val="6.5"/>
        <rFont val="Arial"/>
        <family val="2"/>
      </rPr>
      <t>FEVI KWIK 203</t>
    </r>
  </si>
  <si>
    <r>
      <rPr>
        <b/>
        <sz val="6.5"/>
        <rFont val="Arial"/>
        <family val="2"/>
      </rPr>
      <t>TYMBERFILL 1KG</t>
    </r>
  </si>
  <si>
    <t xml:space="preserve">Disc % we get </t>
  </si>
  <si>
    <t xml:space="preserve">Disc to be Given </t>
  </si>
  <si>
    <t>435 GM</t>
  </si>
  <si>
    <t xml:space="preserve">Price we can quote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</si>
</sst>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0" x14ac:knownFonts="1">
    <font>
      <sz val="10"/>
      <color rgb="FF000000"/>
      <name val="Times New Roman"/>
      <charset val="204"/>
    </font>
    <font>
      <b/>
      <sz val="6.5"/>
      <name val="Verdana"/>
      <family val="2"/>
    </font>
    <font>
      <b/>
      <sz val="6.5"/>
      <name val="Arial"/>
      <family val="2"/>
    </font>
    <font>
      <b/>
      <sz val="7.5"/>
      <name val="Verdana"/>
      <family val="2"/>
    </font>
    <font>
      <b/>
      <sz val="5.5"/>
      <name val="Verdana"/>
      <family val="2"/>
    </font>
    <font>
      <b/>
      <sz val="6.5"/>
      <color rgb="FF000000"/>
      <name val="Arial"/>
      <family val="2"/>
    </font>
    <font>
      <b/>
      <sz val="6"/>
      <name val="Arial"/>
      <family val="2"/>
    </font>
    <font>
      <b/>
      <sz val="7.5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8FABDB"/>
      </patternFill>
    </fill>
    <fill>
      <patternFill patternType="solid">
        <fgColor rgb="FF000000"/>
      </patternFill>
    </fill>
    <fill>
      <patternFill patternType="solid">
        <fgColor rgb="FF8EA9DB"/>
      </patternFill>
    </fill>
    <fill>
      <patternFill patternType="solid">
        <fgColor rgb="FFFFD764"/>
      </patternFill>
    </fill>
    <fill>
      <patternFill patternType="solid">
        <fgColor rgb="FFFFE497"/>
      </patternFill>
    </fill>
    <fill>
      <patternFill patternType="solid">
        <fgColor rgb="FF0C0C0C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1" fontId="5" fillId="5" borderId="4" xfId="0" applyNumberFormat="1" applyFont="1" applyFill="1" applyBorder="1" applyAlignment="1">
      <alignment horizontal="center" vertical="top" shrinkToFit="1"/>
    </xf>
    <xf numFmtId="1" fontId="5" fillId="5" borderId="1" xfId="0" applyNumberFormat="1" applyFont="1" applyFill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right" vertical="top" shrinkToFit="1"/>
    </xf>
    <xf numFmtId="1" fontId="5" fillId="6" borderId="1" xfId="0" applyNumberFormat="1" applyFont="1" applyFill="1" applyBorder="1" applyAlignment="1">
      <alignment horizontal="center" vertical="top" shrinkToFit="1"/>
    </xf>
    <xf numFmtId="0" fontId="2" fillId="7" borderId="1" xfId="0" applyFont="1" applyFill="1" applyBorder="1" applyAlignment="1">
      <alignment horizontal="left" vertical="top" wrapText="1"/>
    </xf>
    <xf numFmtId="2" fontId="5" fillId="7" borderId="1" xfId="0" applyNumberFormat="1" applyFont="1" applyFill="1" applyBorder="1" applyAlignment="1">
      <alignment horizontal="center" vertical="top" shrinkToFit="1"/>
    </xf>
    <xf numFmtId="2" fontId="5" fillId="7" borderId="1" xfId="0" applyNumberFormat="1" applyFont="1" applyFill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2" fillId="5" borderId="1" xfId="0" applyFont="1" applyFill="1" applyBorder="1" applyAlignment="1">
      <alignment horizontal="left" vertical="top" wrapText="1" indent="1"/>
    </xf>
    <xf numFmtId="0" fontId="0" fillId="5" borderId="1" xfId="0" applyFill="1" applyBorder="1" applyAlignment="1">
      <alignment horizontal="left" wrapText="1"/>
    </xf>
    <xf numFmtId="2" fontId="5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5"/>
    </xf>
    <xf numFmtId="0" fontId="1" fillId="0" borderId="3" xfId="0" applyFont="1" applyBorder="1" applyAlignment="1">
      <alignment horizontal="left" vertical="top" wrapText="1" indent="15"/>
    </xf>
    <xf numFmtId="0" fontId="1" fillId="0" borderId="4" xfId="0" applyFont="1" applyBorder="1" applyAlignment="1">
      <alignment horizontal="left" vertical="top" wrapText="1" indent="15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1" fontId="5" fillId="2" borderId="2" xfId="0" applyNumberFormat="1" applyFont="1" applyFill="1" applyBorder="1" applyAlignment="1">
      <alignment horizontal="center" vertical="top" shrinkToFit="1"/>
    </xf>
    <xf numFmtId="1" fontId="5" fillId="2" borderId="4" xfId="0" applyNumberFormat="1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2" fontId="5" fillId="0" borderId="2" xfId="0" applyNumberFormat="1" applyFont="1" applyBorder="1" applyAlignment="1">
      <alignment horizontal="left" vertical="top" indent="1" shrinkToFit="1"/>
    </xf>
    <xf numFmtId="2" fontId="5" fillId="0" borderId="4" xfId="0" applyNumberFormat="1" applyFont="1" applyBorder="1" applyAlignment="1">
      <alignment horizontal="left" vertical="top" indent="1" shrinkToFit="1"/>
    </xf>
    <xf numFmtId="2" fontId="5" fillId="0" borderId="2" xfId="0" applyNumberFormat="1" applyFont="1" applyBorder="1" applyAlignment="1">
      <alignment horizontal="left" vertical="top" indent="2" shrinkToFit="1"/>
    </xf>
    <xf numFmtId="2" fontId="5" fillId="0" borderId="4" xfId="0" applyNumberFormat="1" applyFont="1" applyBorder="1" applyAlignment="1">
      <alignment horizontal="left" vertical="top" indent="2" shrinkToFi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 indent="8"/>
    </xf>
    <xf numFmtId="0" fontId="2" fillId="2" borderId="3" xfId="0" applyFont="1" applyFill="1" applyBorder="1" applyAlignment="1">
      <alignment horizontal="left" vertical="top" wrapText="1" indent="8"/>
    </xf>
    <xf numFmtId="0" fontId="2" fillId="2" borderId="4" xfId="0" applyFont="1" applyFill="1" applyBorder="1" applyAlignment="1">
      <alignment horizontal="left" vertical="top" wrapText="1" indent="8"/>
    </xf>
    <xf numFmtId="0" fontId="2" fillId="2" borderId="2" xfId="0" applyFont="1" applyFill="1" applyBorder="1" applyAlignment="1">
      <alignment horizontal="left" vertical="top" wrapText="1" indent="9"/>
    </xf>
    <xf numFmtId="0" fontId="2" fillId="2" borderId="3" xfId="0" applyFont="1" applyFill="1" applyBorder="1" applyAlignment="1">
      <alignment horizontal="left" vertical="top" wrapText="1" indent="9"/>
    </xf>
    <xf numFmtId="0" fontId="2" fillId="2" borderId="4" xfId="0" applyFont="1" applyFill="1" applyBorder="1" applyAlignment="1">
      <alignment horizontal="left" vertical="top" wrapText="1" indent="9"/>
    </xf>
    <xf numFmtId="0" fontId="2" fillId="2" borderId="2" xfId="0" applyFont="1" applyFill="1" applyBorder="1" applyAlignment="1">
      <alignment horizontal="left" vertical="top" wrapText="1" indent="7"/>
    </xf>
    <xf numFmtId="0" fontId="2" fillId="2" borderId="3" xfId="0" applyFont="1" applyFill="1" applyBorder="1" applyAlignment="1">
      <alignment horizontal="left" vertical="top" wrapText="1" indent="7"/>
    </xf>
    <xf numFmtId="0" fontId="2" fillId="2" borderId="4" xfId="0" applyFont="1" applyFill="1" applyBorder="1" applyAlignment="1">
      <alignment horizontal="left" vertical="top" wrapText="1" indent="7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2" fillId="5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 wrapText="1" indent="3"/>
    </xf>
    <xf numFmtId="0" fontId="2" fillId="5" borderId="3" xfId="0" applyFont="1" applyFill="1" applyBorder="1" applyAlignment="1">
      <alignment horizontal="left" vertical="top" wrapText="1" indent="3"/>
    </xf>
    <xf numFmtId="0" fontId="2" fillId="5" borderId="4" xfId="0" applyFont="1" applyFill="1" applyBorder="1" applyAlignment="1">
      <alignment horizontal="left" vertical="top" wrapText="1" indent="3"/>
    </xf>
    <xf numFmtId="2" fontId="5" fillId="7" borderId="2" xfId="0" applyNumberFormat="1" applyFont="1" applyFill="1" applyBorder="1" applyAlignment="1">
      <alignment horizontal="left" vertical="top" indent="1" shrinkToFit="1"/>
    </xf>
    <xf numFmtId="2" fontId="5" fillId="7" borderId="4" xfId="0" applyNumberFormat="1" applyFont="1" applyFill="1" applyBorder="1" applyAlignment="1">
      <alignment horizontal="left" vertical="top" indent="1" shrinkToFit="1"/>
    </xf>
    <xf numFmtId="0" fontId="2" fillId="5" borderId="2" xfId="0" applyFont="1" applyFill="1" applyBorder="1" applyAlignment="1">
      <alignment horizontal="left" vertical="top" wrapText="1" indent="7"/>
    </xf>
    <xf numFmtId="0" fontId="2" fillId="5" borderId="3" xfId="0" applyFont="1" applyFill="1" applyBorder="1" applyAlignment="1">
      <alignment horizontal="left" vertical="top" wrapText="1" indent="7"/>
    </xf>
    <xf numFmtId="0" fontId="2" fillId="5" borderId="4" xfId="0" applyFont="1" applyFill="1" applyBorder="1" applyAlignment="1">
      <alignment horizontal="left" vertical="top" wrapText="1" indent="7"/>
    </xf>
    <xf numFmtId="0" fontId="6" fillId="5" borderId="2" xfId="0" applyFont="1" applyFill="1" applyBorder="1" applyAlignment="1">
      <alignment horizontal="left" vertical="top" wrapText="1" indent="7"/>
    </xf>
    <xf numFmtId="0" fontId="6" fillId="5" borderId="3" xfId="0" applyFont="1" applyFill="1" applyBorder="1" applyAlignment="1">
      <alignment horizontal="left" vertical="top" wrapText="1" indent="7"/>
    </xf>
    <xf numFmtId="0" fontId="6" fillId="5" borderId="4" xfId="0" applyFont="1" applyFill="1" applyBorder="1" applyAlignment="1">
      <alignment horizontal="left" vertical="top" wrapText="1" indent="7"/>
    </xf>
    <xf numFmtId="0" fontId="2" fillId="5" borderId="2" xfId="0" applyFont="1" applyFill="1" applyBorder="1" applyAlignment="1">
      <alignment horizontal="left" vertical="top" wrapText="1" indent="1"/>
    </xf>
    <xf numFmtId="0" fontId="2" fillId="5" borderId="3" xfId="0" applyFont="1" applyFill="1" applyBorder="1" applyAlignment="1">
      <alignment horizontal="left" vertical="top" wrapText="1" indent="1"/>
    </xf>
    <xf numFmtId="0" fontId="2" fillId="5" borderId="4" xfId="0" applyFont="1" applyFill="1" applyBorder="1" applyAlignment="1">
      <alignment horizontal="left" vertical="top" wrapText="1" indent="1"/>
    </xf>
    <xf numFmtId="0" fontId="2" fillId="5" borderId="2" xfId="0" applyFont="1" applyFill="1" applyBorder="1" applyAlignment="1">
      <alignment horizontal="left" vertical="top" wrapText="1" indent="6"/>
    </xf>
    <xf numFmtId="0" fontId="2" fillId="5" borderId="3" xfId="0" applyFont="1" applyFill="1" applyBorder="1" applyAlignment="1">
      <alignment horizontal="left" vertical="top" wrapText="1" indent="6"/>
    </xf>
    <xf numFmtId="0" fontId="2" fillId="5" borderId="4" xfId="0" applyFont="1" applyFill="1" applyBorder="1" applyAlignment="1">
      <alignment horizontal="left" vertical="top" wrapText="1" indent="6"/>
    </xf>
    <xf numFmtId="0" fontId="2" fillId="5" borderId="2" xfId="0" applyFont="1" applyFill="1" applyBorder="1" applyAlignment="1">
      <alignment horizontal="left" vertical="top" wrapText="1" indent="5"/>
    </xf>
    <xf numFmtId="0" fontId="2" fillId="5" borderId="3" xfId="0" applyFont="1" applyFill="1" applyBorder="1" applyAlignment="1">
      <alignment horizontal="left" vertical="top" wrapText="1" indent="5"/>
    </xf>
    <xf numFmtId="0" fontId="2" fillId="5" borderId="4" xfId="0" applyFont="1" applyFill="1" applyBorder="1" applyAlignment="1">
      <alignment horizontal="left" vertical="top" wrapText="1" indent="5"/>
    </xf>
    <xf numFmtId="2" fontId="5" fillId="0" borderId="2" xfId="0" applyNumberFormat="1" applyFont="1" applyBorder="1" applyAlignment="1">
      <alignment horizontal="left" vertical="top" shrinkToFit="1"/>
    </xf>
    <xf numFmtId="2" fontId="5" fillId="0" borderId="4" xfId="0" applyNumberFormat="1" applyFont="1" applyBorder="1" applyAlignment="1">
      <alignment horizontal="left" vertical="top" shrinkToFit="1"/>
    </xf>
    <xf numFmtId="0" fontId="6" fillId="5" borderId="2" xfId="0" applyFont="1" applyFill="1" applyBorder="1" applyAlignment="1">
      <alignment horizontal="left" vertical="top" wrapText="1" indent="8"/>
    </xf>
    <xf numFmtId="0" fontId="6" fillId="5" borderId="3" xfId="0" applyFont="1" applyFill="1" applyBorder="1" applyAlignment="1">
      <alignment horizontal="left" vertical="top" wrapText="1" indent="8"/>
    </xf>
    <xf numFmtId="0" fontId="6" fillId="5" borderId="4" xfId="0" applyFont="1" applyFill="1" applyBorder="1" applyAlignment="1">
      <alignment horizontal="left" vertical="top" wrapText="1" indent="8"/>
    </xf>
    <xf numFmtId="0" fontId="2" fillId="5" borderId="2" xfId="0" applyFont="1" applyFill="1" applyBorder="1" applyAlignment="1">
      <alignment horizontal="left" vertical="top" wrapText="1" indent="8"/>
    </xf>
    <xf numFmtId="0" fontId="2" fillId="5" borderId="3" xfId="0" applyFont="1" applyFill="1" applyBorder="1" applyAlignment="1">
      <alignment horizontal="left" vertical="top" wrapText="1" indent="8"/>
    </xf>
    <xf numFmtId="0" fontId="2" fillId="5" borderId="4" xfId="0" applyFont="1" applyFill="1" applyBorder="1" applyAlignment="1">
      <alignment horizontal="left" vertical="top" wrapText="1" indent="8"/>
    </xf>
    <xf numFmtId="0" fontId="2" fillId="5" borderId="2" xfId="0" applyFont="1" applyFill="1" applyBorder="1" applyAlignment="1">
      <alignment horizontal="left" vertical="top" wrapText="1" indent="4"/>
    </xf>
    <xf numFmtId="0" fontId="2" fillId="5" borderId="3" xfId="0" applyFont="1" applyFill="1" applyBorder="1" applyAlignment="1">
      <alignment horizontal="left" vertical="top" wrapText="1" indent="4"/>
    </xf>
    <xf numFmtId="0" fontId="2" fillId="5" borderId="4" xfId="0" applyFont="1" applyFill="1" applyBorder="1" applyAlignment="1">
      <alignment horizontal="left" vertical="top" wrapText="1" indent="4"/>
    </xf>
    <xf numFmtId="0" fontId="6" fillId="5" borderId="2" xfId="0" applyFont="1" applyFill="1" applyBorder="1" applyAlignment="1">
      <alignment horizontal="left" vertical="top" wrapText="1" indent="1"/>
    </xf>
    <xf numFmtId="0" fontId="6" fillId="5" borderId="3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horizontal="left" vertical="top" wrapText="1" indent="1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165" fontId="0" fillId="0" borderId="0" xfId="1" applyNumberFormat="1" applyFont="1" applyAlignment="1">
      <alignment horizontal="left" vertical="top"/>
    </xf>
    <xf numFmtId="2" fontId="5" fillId="0" borderId="2" xfId="0" applyNumberFormat="1" applyFont="1" applyBorder="1" applyAlignment="1">
      <alignment vertical="top" shrinkToFit="1"/>
    </xf>
    <xf numFmtId="0" fontId="4" fillId="8" borderId="1" xfId="0" applyFont="1" applyFill="1" applyBorder="1" applyAlignment="1">
      <alignment horizontal="center" vertical="top" wrapText="1"/>
    </xf>
    <xf numFmtId="2" fontId="5" fillId="8" borderId="1" xfId="0" applyNumberFormat="1" applyFont="1" applyFill="1" applyBorder="1" applyAlignment="1">
      <alignment horizontal="center" vertical="top" shrinkToFit="1"/>
    </xf>
    <xf numFmtId="0" fontId="0" fillId="8" borderId="0" xfId="0" applyFill="1" applyAlignment="1">
      <alignment horizontal="left" vertical="top"/>
    </xf>
    <xf numFmtId="0" fontId="1" fillId="8" borderId="1" xfId="0" applyFont="1" applyFill="1" applyBorder="1" applyAlignment="1">
      <alignment horizontal="left" vertical="top" wrapText="1" indent="1"/>
    </xf>
    <xf numFmtId="0" fontId="8" fillId="8" borderId="0" xfId="0" applyFont="1" applyFill="1" applyAlignment="1">
      <alignment horizontal="left" vertical="top"/>
    </xf>
    <xf numFmtId="165" fontId="0" fillId="8" borderId="0" xfId="1" applyNumberFormat="1" applyFont="1" applyFill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7.jpeg"/><Relationship Id="rId18" Type="http://schemas.openxmlformats.org/officeDocument/2006/relationships/image" Target="../media/image42.jpeg"/><Relationship Id="rId26" Type="http://schemas.openxmlformats.org/officeDocument/2006/relationships/image" Target="../media/image50.jpeg"/><Relationship Id="rId3" Type="http://schemas.openxmlformats.org/officeDocument/2006/relationships/image" Target="../media/image28.png"/><Relationship Id="rId21" Type="http://schemas.openxmlformats.org/officeDocument/2006/relationships/image" Target="../media/image45.jpeg"/><Relationship Id="rId34" Type="http://schemas.openxmlformats.org/officeDocument/2006/relationships/image" Target="../media/image58.jpeg"/><Relationship Id="rId7" Type="http://schemas.openxmlformats.org/officeDocument/2006/relationships/image" Target="../media/image31.jpeg"/><Relationship Id="rId12" Type="http://schemas.openxmlformats.org/officeDocument/2006/relationships/image" Target="../media/image36.png"/><Relationship Id="rId17" Type="http://schemas.openxmlformats.org/officeDocument/2006/relationships/image" Target="../media/image41.jpeg"/><Relationship Id="rId25" Type="http://schemas.openxmlformats.org/officeDocument/2006/relationships/image" Target="../media/image49.jpeg"/><Relationship Id="rId33" Type="http://schemas.openxmlformats.org/officeDocument/2006/relationships/image" Target="../media/image57.jpeg"/><Relationship Id="rId2" Type="http://schemas.openxmlformats.org/officeDocument/2006/relationships/image" Target="../media/image8.jpeg"/><Relationship Id="rId16" Type="http://schemas.openxmlformats.org/officeDocument/2006/relationships/image" Target="../media/image40.jpeg"/><Relationship Id="rId20" Type="http://schemas.openxmlformats.org/officeDocument/2006/relationships/image" Target="../media/image44.png"/><Relationship Id="rId29" Type="http://schemas.openxmlformats.org/officeDocument/2006/relationships/image" Target="../media/image53.jpeg"/><Relationship Id="rId1" Type="http://schemas.openxmlformats.org/officeDocument/2006/relationships/image" Target="../media/image27.png"/><Relationship Id="rId6" Type="http://schemas.openxmlformats.org/officeDocument/2006/relationships/image" Target="../media/image7.jpeg"/><Relationship Id="rId11" Type="http://schemas.openxmlformats.org/officeDocument/2006/relationships/image" Target="../media/image35.png"/><Relationship Id="rId24" Type="http://schemas.openxmlformats.org/officeDocument/2006/relationships/image" Target="../media/image48.jpeg"/><Relationship Id="rId32" Type="http://schemas.openxmlformats.org/officeDocument/2006/relationships/image" Target="../media/image56.jpeg"/><Relationship Id="rId5" Type="http://schemas.openxmlformats.org/officeDocument/2006/relationships/image" Target="../media/image30.jpeg"/><Relationship Id="rId15" Type="http://schemas.openxmlformats.org/officeDocument/2006/relationships/image" Target="../media/image39.jpeg"/><Relationship Id="rId23" Type="http://schemas.openxmlformats.org/officeDocument/2006/relationships/image" Target="../media/image47.jpeg"/><Relationship Id="rId28" Type="http://schemas.openxmlformats.org/officeDocument/2006/relationships/image" Target="../media/image52.jpeg"/><Relationship Id="rId36" Type="http://schemas.openxmlformats.org/officeDocument/2006/relationships/image" Target="../media/image60.png"/><Relationship Id="rId10" Type="http://schemas.openxmlformats.org/officeDocument/2006/relationships/image" Target="../media/image34.png"/><Relationship Id="rId19" Type="http://schemas.openxmlformats.org/officeDocument/2006/relationships/image" Target="../media/image43.jpeg"/><Relationship Id="rId31" Type="http://schemas.openxmlformats.org/officeDocument/2006/relationships/image" Target="../media/image55.jpeg"/><Relationship Id="rId4" Type="http://schemas.openxmlformats.org/officeDocument/2006/relationships/image" Target="../media/image29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jpeg"/><Relationship Id="rId27" Type="http://schemas.openxmlformats.org/officeDocument/2006/relationships/image" Target="../media/image51.jpeg"/><Relationship Id="rId30" Type="http://schemas.openxmlformats.org/officeDocument/2006/relationships/image" Target="../media/image54.jpeg"/><Relationship Id="rId35" Type="http://schemas.openxmlformats.org/officeDocument/2006/relationships/image" Target="../media/image59.jpeg"/><Relationship Id="rId8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3606</xdr:rowOff>
    </xdr:from>
    <xdr:ext cx="6779259" cy="75311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3606"/>
          <a:ext cx="6779259" cy="753110"/>
          <a:chOff x="0" y="0"/>
          <a:chExt cx="6779259" cy="75311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60135" y="0"/>
            <a:ext cx="1118616" cy="752855"/>
          </a:xfrm>
          <a:prstGeom prst="rect">
            <a:avLst/>
          </a:prstGeom>
        </xdr:spPr>
      </xdr:pic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69279" y="9563"/>
            <a:ext cx="1064361" cy="696810"/>
          </a:xfrm>
          <a:prstGeom prst="rect">
            <a:avLst/>
          </a:prstGeom>
        </xdr:spPr>
      </xdr:pic>
      <xdr:pic>
        <xdr:nvPicPr>
          <xdr:cNvPr id="5" name="image3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9998" y="517"/>
            <a:ext cx="3035643" cy="9007"/>
          </a:xfrm>
          <a:prstGeom prst="rect">
            <a:avLst/>
          </a:prstGeom>
        </xdr:spPr>
      </xdr:pic>
      <xdr:pic>
        <xdr:nvPicPr>
          <xdr:cNvPr id="6" name="image4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3900" y="0"/>
            <a:ext cx="4958334" cy="582929"/>
          </a:xfrm>
          <a:prstGeom prst="rect">
            <a:avLst/>
          </a:prstGeom>
        </xdr:spPr>
      </xdr:pic>
      <xdr:pic>
        <xdr:nvPicPr>
          <xdr:cNvPr id="7" name="image5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0381" cy="750570"/>
          </a:xfrm>
          <a:prstGeom prst="rect">
            <a:avLst/>
          </a:prstGeom>
        </xdr:spPr>
      </xdr:pic>
      <xdr:pic>
        <xdr:nvPicPr>
          <xdr:cNvPr id="8" name="image6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64" y="9563"/>
            <a:ext cx="717880" cy="69681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19608</xdr:colOff>
      <xdr:row>3</xdr:row>
      <xdr:rowOff>1193</xdr:rowOff>
    </xdr:from>
    <xdr:ext cx="723811" cy="321767"/>
    <xdr:pic>
      <xdr:nvPicPr>
        <xdr:cNvPr id="9" name="image7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3811" cy="321767"/>
        </a:xfrm>
        <a:prstGeom prst="rect">
          <a:avLst/>
        </a:prstGeom>
      </xdr:spPr>
    </xdr:pic>
    <xdr:clientData/>
  </xdr:oneCellAnchor>
  <xdr:oneCellAnchor>
    <xdr:from>
      <xdr:col>6</xdr:col>
      <xdr:colOff>38734</xdr:colOff>
      <xdr:row>3</xdr:row>
      <xdr:rowOff>17881</xdr:rowOff>
    </xdr:from>
    <xdr:ext cx="1008151" cy="305079"/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8151" cy="305079"/>
        </a:xfrm>
        <a:prstGeom prst="rect">
          <a:avLst/>
        </a:prstGeom>
      </xdr:spPr>
    </xdr:pic>
    <xdr:clientData/>
  </xdr:oneCellAnchor>
  <xdr:oneCellAnchor>
    <xdr:from>
      <xdr:col>1</xdr:col>
      <xdr:colOff>2971</xdr:colOff>
      <xdr:row>0</xdr:row>
      <xdr:rowOff>13157</xdr:rowOff>
    </xdr:from>
    <xdr:ext cx="4904994" cy="530072"/>
    <xdr:pic>
      <xdr:nvPicPr>
        <xdr:cNvPr id="11" name="image8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04994" cy="530072"/>
        </a:xfrm>
        <a:prstGeom prst="rect">
          <a:avLst/>
        </a:prstGeom>
      </xdr:spPr>
    </xdr:pic>
    <xdr:clientData/>
  </xdr:oneCellAnchor>
  <xdr:oneCellAnchor>
    <xdr:from>
      <xdr:col>0</xdr:col>
      <xdr:colOff>121272</xdr:colOff>
      <xdr:row>53</xdr:row>
      <xdr:rowOff>52997</xdr:rowOff>
    </xdr:from>
    <xdr:ext cx="460248" cy="554824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0248" cy="554824"/>
        </a:xfrm>
        <a:prstGeom prst="rect">
          <a:avLst/>
        </a:prstGeom>
      </xdr:spPr>
    </xdr:pic>
    <xdr:clientData/>
  </xdr:oneCellAnchor>
  <xdr:oneCellAnchor>
    <xdr:from>
      <xdr:col>0</xdr:col>
      <xdr:colOff>80987</xdr:colOff>
      <xdr:row>46</xdr:row>
      <xdr:rowOff>26581</xdr:rowOff>
    </xdr:from>
    <xdr:ext cx="588721" cy="670013"/>
    <xdr:pic>
      <xdr:nvPicPr>
        <xdr:cNvPr id="13" name="image10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8721" cy="670013"/>
        </a:xfrm>
        <a:prstGeom prst="rect">
          <a:avLst/>
        </a:prstGeom>
      </xdr:spPr>
    </xdr:pic>
    <xdr:clientData/>
  </xdr:oneCellAnchor>
  <xdr:oneCellAnchor>
    <xdr:from>
      <xdr:col>0</xdr:col>
      <xdr:colOff>129649</xdr:colOff>
      <xdr:row>37</xdr:row>
      <xdr:rowOff>43916</xdr:rowOff>
    </xdr:from>
    <xdr:ext cx="556243" cy="922172"/>
    <xdr:pic>
      <xdr:nvPicPr>
        <xdr:cNvPr id="14" name="image11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243" cy="9221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129083</xdr:rowOff>
    </xdr:from>
    <xdr:ext cx="795655" cy="1314450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7935350"/>
          <a:ext cx="795655" cy="1314450"/>
          <a:chOff x="0" y="0"/>
          <a:chExt cx="795655" cy="1314450"/>
        </a:xfrm>
      </xdr:grpSpPr>
      <xdr:pic>
        <xdr:nvPicPr>
          <xdr:cNvPr id="16" name="image12.jpeg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95528" cy="787984"/>
          </a:xfrm>
          <a:prstGeom prst="rect">
            <a:avLst/>
          </a:prstGeom>
        </xdr:spPr>
      </xdr:pic>
      <xdr:pic>
        <xdr:nvPicPr>
          <xdr:cNvPr id="17" name="image13.jpeg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3644" y="775017"/>
            <a:ext cx="243535" cy="532536"/>
          </a:xfrm>
          <a:prstGeom prst="rect">
            <a:avLst/>
          </a:prstGeom>
        </xdr:spPr>
      </xdr:pic>
      <xdr:pic>
        <xdr:nvPicPr>
          <xdr:cNvPr id="18" name="image14.jpeg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18" y="768540"/>
            <a:ext cx="243535" cy="545490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140334</xdr:colOff>
      <xdr:row>12</xdr:row>
      <xdr:rowOff>44741</xdr:rowOff>
    </xdr:from>
    <xdr:ext cx="818108" cy="643470"/>
    <xdr:pic>
      <xdr:nvPicPr>
        <xdr:cNvPr id="19" name="image15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8108" cy="643470"/>
        </a:xfrm>
        <a:prstGeom prst="rect">
          <a:avLst/>
        </a:prstGeom>
      </xdr:spPr>
    </xdr:pic>
    <xdr:clientData/>
  </xdr:oneCellAnchor>
  <xdr:absoluteAnchor>
    <xdr:pos x="3283458" y="4389316"/>
    <xdr:ext cx="960446" cy="449177"/>
    <xdr:pic>
      <xdr:nvPicPr>
        <xdr:cNvPr id="20" name="image16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0446" cy="449177"/>
        </a:xfrm>
        <a:prstGeom prst="rect">
          <a:avLst/>
        </a:prstGeom>
      </xdr:spPr>
    </xdr:pic>
    <xdr:clientData/>
  </xdr:absoluteAnchor>
  <xdr:oneCellAnchor>
    <xdr:from>
      <xdr:col>0</xdr:col>
      <xdr:colOff>54046</xdr:colOff>
      <xdr:row>5</xdr:row>
      <xdr:rowOff>44450</xdr:rowOff>
    </xdr:from>
    <xdr:ext cx="682413" cy="1285408"/>
    <xdr:pic>
      <xdr:nvPicPr>
        <xdr:cNvPr id="21" name="image17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413" cy="1285408"/>
        </a:xfrm>
        <a:prstGeom prst="rect">
          <a:avLst/>
        </a:prstGeom>
      </xdr:spPr>
    </xdr:pic>
    <xdr:clientData/>
  </xdr:oneCellAnchor>
  <xdr:oneCellAnchor>
    <xdr:from>
      <xdr:col>6</xdr:col>
      <xdr:colOff>366649</xdr:colOff>
      <xdr:row>51</xdr:row>
      <xdr:rowOff>8343</xdr:rowOff>
    </xdr:from>
    <xdr:ext cx="427913" cy="447713"/>
    <xdr:pic>
      <xdr:nvPicPr>
        <xdr:cNvPr id="22" name="image18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913" cy="447713"/>
        </a:xfrm>
        <a:prstGeom prst="rect">
          <a:avLst/>
        </a:prstGeom>
      </xdr:spPr>
    </xdr:pic>
    <xdr:clientData/>
  </xdr:oneCellAnchor>
  <xdr:absoluteAnchor>
    <xdr:pos x="3544442" y="7587906"/>
    <xdr:ext cx="435609" cy="1231900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3544442" y="7587906"/>
          <a:ext cx="435609" cy="1231900"/>
          <a:chOff x="0" y="0"/>
          <a:chExt cx="435609" cy="1231900"/>
        </a:xfrm>
      </xdr:grpSpPr>
      <xdr:pic>
        <xdr:nvPicPr>
          <xdr:cNvPr id="24" name="image19.jpe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35533" cy="561936"/>
          </a:xfrm>
          <a:prstGeom prst="rect">
            <a:avLst/>
          </a:prstGeom>
        </xdr:spPr>
      </xdr:pic>
      <xdr:pic>
        <xdr:nvPicPr>
          <xdr:cNvPr id="25" name="image20.jpe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307" y="569137"/>
            <a:ext cx="300663" cy="66218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26403</xdr:colOff>
      <xdr:row>27</xdr:row>
      <xdr:rowOff>18389</xdr:rowOff>
    </xdr:from>
    <xdr:ext cx="670026" cy="1056919"/>
    <xdr:pic>
      <xdr:nvPicPr>
        <xdr:cNvPr id="26" name="image21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0026" cy="1056919"/>
        </a:xfrm>
        <a:prstGeom prst="rect">
          <a:avLst/>
        </a:prstGeom>
      </xdr:spPr>
    </xdr:pic>
    <xdr:clientData/>
  </xdr:oneCellAnchor>
  <xdr:oneCellAnchor>
    <xdr:from>
      <xdr:col>0</xdr:col>
      <xdr:colOff>33375</xdr:colOff>
      <xdr:row>18</xdr:row>
      <xdr:rowOff>26669</xdr:rowOff>
    </xdr:from>
    <xdr:ext cx="675766" cy="923671"/>
    <xdr:pic>
      <xdr:nvPicPr>
        <xdr:cNvPr id="27" name="image22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5766" cy="923671"/>
        </a:xfrm>
        <a:prstGeom prst="rect">
          <a:avLst/>
        </a:prstGeom>
      </xdr:spPr>
    </xdr:pic>
    <xdr:clientData/>
  </xdr:oneCellAnchor>
  <xdr:oneCellAnchor>
    <xdr:from>
      <xdr:col>6</xdr:col>
      <xdr:colOff>88645</xdr:colOff>
      <xdr:row>5</xdr:row>
      <xdr:rowOff>97193</xdr:rowOff>
    </xdr:from>
    <xdr:ext cx="900201" cy="604862"/>
    <xdr:pic>
      <xdr:nvPicPr>
        <xdr:cNvPr id="28" name="image23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0201" cy="604862"/>
        </a:xfrm>
        <a:prstGeom prst="rect">
          <a:avLst/>
        </a:prstGeom>
      </xdr:spPr>
    </xdr:pic>
    <xdr:clientData/>
  </xdr:oneCellAnchor>
  <xdr:oneCellAnchor>
    <xdr:from>
      <xdr:col>6</xdr:col>
      <xdr:colOff>241934</xdr:colOff>
      <xdr:row>19</xdr:row>
      <xdr:rowOff>3175</xdr:rowOff>
    </xdr:from>
    <xdr:ext cx="667296" cy="1001903"/>
    <xdr:pic>
      <xdr:nvPicPr>
        <xdr:cNvPr id="29" name="image24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7296" cy="1001903"/>
        </a:xfrm>
        <a:prstGeom prst="rect">
          <a:avLst/>
        </a:prstGeom>
      </xdr:spPr>
    </xdr:pic>
    <xdr:clientData/>
  </xdr:oneCellAnchor>
  <xdr:oneCellAnchor>
    <xdr:from>
      <xdr:col>6</xdr:col>
      <xdr:colOff>36449</xdr:colOff>
      <xdr:row>35</xdr:row>
      <xdr:rowOff>9905</xdr:rowOff>
    </xdr:from>
    <xdr:ext cx="1028598" cy="1798574"/>
    <xdr:pic>
      <xdr:nvPicPr>
        <xdr:cNvPr id="30" name="image25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8598" cy="1798574"/>
        </a:xfrm>
        <a:prstGeom prst="rect">
          <a:avLst/>
        </a:prstGeom>
      </xdr:spPr>
    </xdr:pic>
    <xdr:clientData/>
  </xdr:oneCellAnchor>
  <xdr:oneCellAnchor>
    <xdr:from>
      <xdr:col>6</xdr:col>
      <xdr:colOff>217424</xdr:colOff>
      <xdr:row>66</xdr:row>
      <xdr:rowOff>47533</xdr:rowOff>
    </xdr:from>
    <xdr:ext cx="581825" cy="335468"/>
    <xdr:pic>
      <xdr:nvPicPr>
        <xdr:cNvPr id="31" name="image26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825" cy="3354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9905</xdr:colOff>
      <xdr:row>0</xdr:row>
      <xdr:rowOff>0</xdr:rowOff>
    </xdr:from>
    <xdr:ext cx="6505575" cy="669925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9905" y="0"/>
          <a:ext cx="6505575" cy="669925"/>
          <a:chOff x="0" y="0"/>
          <a:chExt cx="6505575" cy="669925"/>
        </a:xfrm>
      </xdr:grpSpPr>
      <xdr:pic>
        <xdr:nvPicPr>
          <xdr:cNvPr id="33" name="image27.png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0327" y="0"/>
            <a:ext cx="4094226" cy="662177"/>
          </a:xfrm>
          <a:prstGeom prst="rect">
            <a:avLst/>
          </a:prstGeom>
        </xdr:spPr>
      </xdr:pic>
      <xdr:pic>
        <xdr:nvPicPr>
          <xdr:cNvPr id="34" name="image8.jpeg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8963" y="7467"/>
            <a:ext cx="4041394" cy="610895"/>
          </a:xfrm>
          <a:prstGeom prst="rect">
            <a:avLst/>
          </a:prstGeom>
        </xdr:spPr>
      </xdr:pic>
      <xdr:pic>
        <xdr:nvPicPr>
          <xdr:cNvPr id="35" name="image28.png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81600" y="0"/>
            <a:ext cx="1323594" cy="669798"/>
          </a:xfrm>
          <a:prstGeom prst="rect">
            <a:avLst/>
          </a:prstGeom>
        </xdr:spPr>
      </xdr:pic>
      <xdr:pic>
        <xdr:nvPicPr>
          <xdr:cNvPr id="36" name="image29.png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45286" cy="665226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20002</xdr:colOff>
      <xdr:row>0</xdr:row>
      <xdr:rowOff>609</xdr:rowOff>
    </xdr:from>
    <xdr:ext cx="1271396" cy="619531"/>
    <xdr:pic>
      <xdr:nvPicPr>
        <xdr:cNvPr id="37" name="image30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1396" cy="619531"/>
        </a:xfrm>
        <a:prstGeom prst="rect">
          <a:avLst/>
        </a:prstGeom>
      </xdr:spPr>
    </xdr:pic>
    <xdr:clientData/>
  </xdr:oneCellAnchor>
  <xdr:oneCellAnchor>
    <xdr:from>
      <xdr:col>0</xdr:col>
      <xdr:colOff>206540</xdr:colOff>
      <xdr:row>2</xdr:row>
      <xdr:rowOff>27165</xdr:rowOff>
    </xdr:from>
    <xdr:ext cx="587667" cy="295541"/>
    <xdr:pic>
      <xdr:nvPicPr>
        <xdr:cNvPr id="38" name="image7.jpe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7667" cy="295541"/>
        </a:xfrm>
        <a:prstGeom prst="rect">
          <a:avLst/>
        </a:prstGeom>
      </xdr:spPr>
    </xdr:pic>
    <xdr:clientData/>
  </xdr:oneCellAnchor>
  <xdr:oneCellAnchor>
    <xdr:from>
      <xdr:col>5</xdr:col>
      <xdr:colOff>149732</xdr:colOff>
      <xdr:row>2</xdr:row>
      <xdr:rowOff>17195</xdr:rowOff>
    </xdr:from>
    <xdr:ext cx="474345" cy="321894"/>
    <xdr:pic>
      <xdr:nvPicPr>
        <xdr:cNvPr id="39" name="image7.jpe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345" cy="321894"/>
        </a:xfrm>
        <a:prstGeom prst="rect">
          <a:avLst/>
        </a:prstGeom>
      </xdr:spPr>
    </xdr:pic>
    <xdr:clientData/>
  </xdr:oneCellAnchor>
  <xdr:oneCellAnchor>
    <xdr:from>
      <xdr:col>5</xdr:col>
      <xdr:colOff>36575</xdr:colOff>
      <xdr:row>62</xdr:row>
      <xdr:rowOff>112369</xdr:rowOff>
    </xdr:from>
    <xdr:ext cx="510171" cy="680745"/>
    <xdr:pic>
      <xdr:nvPicPr>
        <xdr:cNvPr id="40" name="image31.jpe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0171" cy="680745"/>
        </a:xfrm>
        <a:prstGeom prst="rect">
          <a:avLst/>
        </a:prstGeom>
      </xdr:spPr>
    </xdr:pic>
    <xdr:clientData/>
  </xdr:oneCellAnchor>
  <xdr:oneCellAnchor>
    <xdr:from>
      <xdr:col>5</xdr:col>
      <xdr:colOff>39877</xdr:colOff>
      <xdr:row>17</xdr:row>
      <xdr:rowOff>18757</xdr:rowOff>
    </xdr:from>
    <xdr:ext cx="520026" cy="742099"/>
    <xdr:pic>
      <xdr:nvPicPr>
        <xdr:cNvPr id="41" name="image32.jpe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026" cy="742099"/>
        </a:xfrm>
        <a:prstGeom prst="rect">
          <a:avLst/>
        </a:prstGeom>
      </xdr:spPr>
    </xdr:pic>
    <xdr:clientData/>
  </xdr:oneCellAnchor>
  <xdr:oneCellAnchor>
    <xdr:from>
      <xdr:col>5</xdr:col>
      <xdr:colOff>4952</xdr:colOff>
      <xdr:row>8</xdr:row>
      <xdr:rowOff>107200</xdr:rowOff>
    </xdr:from>
    <xdr:ext cx="569087" cy="332981"/>
    <xdr:pic>
      <xdr:nvPicPr>
        <xdr:cNvPr id="42" name="image33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9087" cy="332981"/>
        </a:xfrm>
        <a:prstGeom prst="rect">
          <a:avLst/>
        </a:prstGeom>
      </xdr:spPr>
    </xdr:pic>
    <xdr:clientData/>
  </xdr:oneCellAnchor>
  <xdr:oneCellAnchor>
    <xdr:from>
      <xdr:col>5</xdr:col>
      <xdr:colOff>12573</xdr:colOff>
      <xdr:row>38</xdr:row>
      <xdr:rowOff>96189</xdr:rowOff>
    </xdr:from>
    <xdr:ext cx="547319" cy="960704"/>
    <xdr:pic>
      <xdr:nvPicPr>
        <xdr:cNvPr id="43" name="image34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7319" cy="960704"/>
        </a:xfrm>
        <a:prstGeom prst="rect">
          <a:avLst/>
        </a:prstGeom>
      </xdr:spPr>
    </xdr:pic>
    <xdr:clientData/>
  </xdr:oneCellAnchor>
  <xdr:oneCellAnchor>
    <xdr:from>
      <xdr:col>4</xdr:col>
      <xdr:colOff>446277</xdr:colOff>
      <xdr:row>48</xdr:row>
      <xdr:rowOff>61671</xdr:rowOff>
    </xdr:from>
    <xdr:ext cx="578485" cy="1430020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3849877" y="6623338"/>
          <a:ext cx="578485" cy="1430020"/>
          <a:chOff x="0" y="0"/>
          <a:chExt cx="578485" cy="1430020"/>
        </a:xfrm>
      </xdr:grpSpPr>
      <xdr:pic>
        <xdr:nvPicPr>
          <xdr:cNvPr id="45" name="image35.png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165" y="0"/>
            <a:ext cx="520026" cy="588314"/>
          </a:xfrm>
          <a:prstGeom prst="rect">
            <a:avLst/>
          </a:prstGeom>
        </xdr:spPr>
      </xdr:pic>
      <xdr:pic>
        <xdr:nvPicPr>
          <xdr:cNvPr id="46" name="image36.png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77964"/>
            <a:ext cx="578167" cy="851598"/>
          </a:xfrm>
          <a:prstGeom prst="rect">
            <a:avLst/>
          </a:prstGeom>
        </xdr:spPr>
      </xdr:pic>
    </xdr:grpSp>
    <xdr:clientData/>
  </xdr:oneCellAnchor>
  <xdr:absoluteAnchor>
    <xdr:pos x="119164" y="2071763"/>
    <xdr:ext cx="727075" cy="3691254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pSpPr/>
      </xdr:nvGrpSpPr>
      <xdr:grpSpPr>
        <a:xfrm>
          <a:off x="119164" y="2071763"/>
          <a:ext cx="727075" cy="3691254"/>
          <a:chOff x="0" y="0"/>
          <a:chExt cx="727075" cy="3691254"/>
        </a:xfrm>
      </xdr:grpSpPr>
      <xdr:pic>
        <xdr:nvPicPr>
          <xdr:cNvPr id="48" name="image37.jpeg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798" y="2458618"/>
            <a:ext cx="519671" cy="540473"/>
          </a:xfrm>
          <a:prstGeom prst="rect">
            <a:avLst/>
          </a:prstGeom>
        </xdr:spPr>
      </xdr:pic>
      <xdr:pic>
        <xdr:nvPicPr>
          <xdr:cNvPr id="49" name="image38.png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48" y="0"/>
            <a:ext cx="612089" cy="589013"/>
          </a:xfrm>
          <a:prstGeom prst="rect">
            <a:avLst/>
          </a:prstGeom>
        </xdr:spPr>
      </xdr:pic>
      <xdr:pic>
        <xdr:nvPicPr>
          <xdr:cNvPr id="50" name="image39.jpeg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822" y="632066"/>
            <a:ext cx="466102" cy="603123"/>
          </a:xfrm>
          <a:prstGeom prst="rect">
            <a:avLst/>
          </a:prstGeom>
        </xdr:spPr>
      </xdr:pic>
      <xdr:pic>
        <xdr:nvPicPr>
          <xdr:cNvPr id="51" name="image40.jpeg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720" y="1241996"/>
            <a:ext cx="601934" cy="626668"/>
          </a:xfrm>
          <a:prstGeom prst="rect">
            <a:avLst/>
          </a:prstGeom>
        </xdr:spPr>
      </xdr:pic>
      <xdr:pic>
        <xdr:nvPicPr>
          <xdr:cNvPr id="52" name="image41.jpeg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016" y="1863001"/>
            <a:ext cx="399808" cy="579958"/>
          </a:xfrm>
          <a:prstGeom prst="rect">
            <a:avLst/>
          </a:prstGeom>
        </xdr:spPr>
      </xdr:pic>
      <xdr:pic>
        <xdr:nvPicPr>
          <xdr:cNvPr id="53" name="image42.jpeg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34677"/>
            <a:ext cx="322706" cy="637006"/>
          </a:xfrm>
          <a:prstGeom prst="rect">
            <a:avLst/>
          </a:prstGeom>
        </xdr:spPr>
      </xdr:pic>
      <xdr:pic>
        <xdr:nvPicPr>
          <xdr:cNvPr id="54" name="image43.jpeg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3681" y="3051505"/>
            <a:ext cx="230367" cy="639610"/>
          </a:xfrm>
          <a:prstGeom prst="rect">
            <a:avLst/>
          </a:prstGeom>
        </xdr:spPr>
      </xdr:pic>
    </xdr:grpSp>
    <xdr:clientData/>
  </xdr:absoluteAnchor>
  <xdr:oneCellAnchor>
    <xdr:from>
      <xdr:col>5</xdr:col>
      <xdr:colOff>12573</xdr:colOff>
      <xdr:row>13</xdr:row>
      <xdr:rowOff>1346</xdr:rowOff>
    </xdr:from>
    <xdr:ext cx="514121" cy="440994"/>
    <xdr:pic>
      <xdr:nvPicPr>
        <xdr:cNvPr id="55" name="image44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4121" cy="440994"/>
        </a:xfrm>
        <a:prstGeom prst="rect">
          <a:avLst/>
        </a:prstGeom>
      </xdr:spPr>
    </xdr:pic>
    <xdr:clientData/>
  </xdr:oneCellAnchor>
  <xdr:oneCellAnchor>
    <xdr:from>
      <xdr:col>5</xdr:col>
      <xdr:colOff>66548</xdr:colOff>
      <xdr:row>4</xdr:row>
      <xdr:rowOff>27190</xdr:rowOff>
    </xdr:from>
    <xdr:ext cx="412813" cy="395592"/>
    <xdr:pic>
      <xdr:nvPicPr>
        <xdr:cNvPr id="56" name="image45.jpe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2813" cy="395592"/>
        </a:xfrm>
        <a:prstGeom prst="rect">
          <a:avLst/>
        </a:prstGeom>
      </xdr:spPr>
    </xdr:pic>
    <xdr:clientData/>
  </xdr:oneCellAnchor>
  <xdr:absoluteAnchor>
    <xdr:pos x="3426714" y="8683178"/>
    <xdr:ext cx="496995" cy="518136"/>
    <xdr:pic>
      <xdr:nvPicPr>
        <xdr:cNvPr id="57" name="image46.jpe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6995" cy="518136"/>
        </a:xfrm>
        <a:prstGeom prst="rect">
          <a:avLst/>
        </a:prstGeom>
      </xdr:spPr>
    </xdr:pic>
    <xdr:clientData/>
  </xdr:absoluteAnchor>
  <xdr:oneCellAnchor>
    <xdr:from>
      <xdr:col>0</xdr:col>
      <xdr:colOff>19672</xdr:colOff>
      <xdr:row>0</xdr:row>
      <xdr:rowOff>0</xdr:rowOff>
    </xdr:from>
    <xdr:ext cx="1092492" cy="621792"/>
    <xdr:pic>
      <xdr:nvPicPr>
        <xdr:cNvPr id="58" name="image47.jpe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492" cy="621792"/>
        </a:xfrm>
        <a:prstGeom prst="rect">
          <a:avLst/>
        </a:prstGeom>
      </xdr:spPr>
    </xdr:pic>
    <xdr:clientData/>
  </xdr:oneCellAnchor>
  <xdr:oneCellAnchor>
    <xdr:from>
      <xdr:col>5</xdr:col>
      <xdr:colOff>52324</xdr:colOff>
      <xdr:row>29</xdr:row>
      <xdr:rowOff>35255</xdr:rowOff>
    </xdr:from>
    <xdr:ext cx="507555" cy="927785"/>
    <xdr:pic>
      <xdr:nvPicPr>
        <xdr:cNvPr id="59" name="image48.jpe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555" cy="927785"/>
        </a:xfrm>
        <a:prstGeom prst="rect">
          <a:avLst/>
        </a:prstGeom>
      </xdr:spPr>
    </xdr:pic>
    <xdr:clientData/>
  </xdr:oneCellAnchor>
  <xdr:oneCellAnchor>
    <xdr:from>
      <xdr:col>5</xdr:col>
      <xdr:colOff>99694</xdr:colOff>
      <xdr:row>25</xdr:row>
      <xdr:rowOff>9436</xdr:rowOff>
    </xdr:from>
    <xdr:ext cx="420408" cy="305777"/>
    <xdr:pic>
      <xdr:nvPicPr>
        <xdr:cNvPr id="60" name="image49.jpe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0408" cy="305777"/>
        </a:xfrm>
        <a:prstGeom prst="rect">
          <a:avLst/>
        </a:prstGeom>
      </xdr:spPr>
    </xdr:pic>
    <xdr:clientData/>
  </xdr:oneCellAnchor>
  <xdr:oneCellAnchor>
    <xdr:from>
      <xdr:col>0</xdr:col>
      <xdr:colOff>22072</xdr:colOff>
      <xdr:row>69</xdr:row>
      <xdr:rowOff>15404</xdr:rowOff>
    </xdr:from>
    <xdr:ext cx="799465" cy="541655"/>
    <xdr:grpSp>
      <xdr:nvGrpSpPr>
        <xdr:cNvPr id="61" name="Group 6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pSpPr/>
      </xdr:nvGrpSpPr>
      <xdr:grpSpPr>
        <a:xfrm>
          <a:off x="22072" y="9066271"/>
          <a:ext cx="799465" cy="541655"/>
          <a:chOff x="0" y="0"/>
          <a:chExt cx="799465" cy="541655"/>
        </a:xfrm>
      </xdr:grpSpPr>
      <xdr:pic>
        <xdr:nvPicPr>
          <xdr:cNvPr id="62" name="image50.jpeg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43319" cy="541261"/>
          </a:xfrm>
          <a:prstGeom prst="rect">
            <a:avLst/>
          </a:prstGeom>
        </xdr:spPr>
      </xdr:pic>
      <xdr:pic>
        <xdr:nvPicPr>
          <xdr:cNvPr id="63" name="image51.jpeg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7304" y="12738"/>
            <a:ext cx="421970" cy="51815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82080</xdr:colOff>
      <xdr:row>45</xdr:row>
      <xdr:rowOff>11137</xdr:rowOff>
    </xdr:from>
    <xdr:ext cx="624141" cy="604685"/>
    <xdr:pic>
      <xdr:nvPicPr>
        <xdr:cNvPr id="64" name="image52.jpe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4141" cy="604685"/>
        </a:xfrm>
        <a:prstGeom prst="rect">
          <a:avLst/>
        </a:prstGeom>
      </xdr:spPr>
    </xdr:pic>
    <xdr:clientData/>
  </xdr:oneCellAnchor>
  <xdr:absoluteAnchor>
    <xdr:pos x="129669" y="6735328"/>
    <xdr:ext cx="557857" cy="457316"/>
    <xdr:pic>
      <xdr:nvPicPr>
        <xdr:cNvPr id="65" name="image53.jpe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7857" cy="457316"/>
        </a:xfrm>
        <a:prstGeom prst="rect">
          <a:avLst/>
        </a:prstGeom>
      </xdr:spPr>
    </xdr:pic>
    <xdr:clientData/>
  </xdr:absoluteAnchor>
  <xdr:oneCellAnchor>
    <xdr:from>
      <xdr:col>0</xdr:col>
      <xdr:colOff>17729</xdr:colOff>
      <xdr:row>56</xdr:row>
      <xdr:rowOff>114046</xdr:rowOff>
    </xdr:from>
    <xdr:ext cx="428625" cy="1136650"/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17729" y="7623979"/>
          <a:ext cx="428625" cy="1136650"/>
          <a:chOff x="0" y="0"/>
          <a:chExt cx="428625" cy="1136650"/>
        </a:xfrm>
      </xdr:grpSpPr>
      <xdr:pic>
        <xdr:nvPicPr>
          <xdr:cNvPr id="67" name="image54.jpeg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673"/>
            <a:ext cx="200431" cy="569620"/>
          </a:xfrm>
          <a:prstGeom prst="rect">
            <a:avLst/>
          </a:prstGeom>
        </xdr:spPr>
      </xdr:pic>
      <xdr:pic>
        <xdr:nvPicPr>
          <xdr:cNvPr id="68" name="image55.jpeg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009" y="0"/>
            <a:ext cx="188188" cy="563880"/>
          </a:xfrm>
          <a:prstGeom prst="rect">
            <a:avLst/>
          </a:prstGeom>
        </xdr:spPr>
      </xdr:pic>
      <xdr:pic>
        <xdr:nvPicPr>
          <xdr:cNvPr id="69" name="image56.jpeg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11" y="597890"/>
            <a:ext cx="176834" cy="526440"/>
          </a:xfrm>
          <a:prstGeom prst="rect">
            <a:avLst/>
          </a:prstGeom>
        </xdr:spPr>
      </xdr:pic>
      <xdr:pic>
        <xdr:nvPicPr>
          <xdr:cNvPr id="70" name="image57.jpeg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185" y="579119"/>
            <a:ext cx="187286" cy="55702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500087</xdr:colOff>
      <xdr:row>56</xdr:row>
      <xdr:rowOff>114084</xdr:rowOff>
    </xdr:from>
    <xdr:ext cx="196850" cy="1127125"/>
    <xdr:grpSp>
      <xdr:nvGrpSpPr>
        <xdr:cNvPr id="71" name="Group 7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GrpSpPr/>
      </xdr:nvGrpSpPr>
      <xdr:grpSpPr>
        <a:xfrm>
          <a:off x="500087" y="7624017"/>
          <a:ext cx="196850" cy="1127125"/>
          <a:chOff x="0" y="0"/>
          <a:chExt cx="196850" cy="1127125"/>
        </a:xfrm>
      </xdr:grpSpPr>
      <xdr:pic>
        <xdr:nvPicPr>
          <xdr:cNvPr id="72" name="image58.jpeg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6710" cy="564730"/>
          </a:xfrm>
          <a:prstGeom prst="rect">
            <a:avLst/>
          </a:prstGeom>
        </xdr:spPr>
      </xdr:pic>
      <xdr:pic>
        <xdr:nvPicPr>
          <xdr:cNvPr id="73" name="image59.jpeg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35" y="583755"/>
            <a:ext cx="172123" cy="54307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135636</xdr:colOff>
      <xdr:row>4</xdr:row>
      <xdr:rowOff>69227</xdr:rowOff>
    </xdr:from>
    <xdr:ext cx="594588" cy="599808"/>
    <xdr:pic>
      <xdr:nvPicPr>
        <xdr:cNvPr id="74" name="image60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4588" cy="5998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opLeftCell="A16" zoomScale="150" workbookViewId="0">
      <selection activeCell="H44" sqref="H44:L44"/>
    </sheetView>
  </sheetViews>
  <sheetFormatPr baseColWidth="10" defaultColWidth="9" defaultRowHeight="13" x14ac:dyDescent="0.15"/>
  <cols>
    <col min="1" max="1" width="13.19921875" customWidth="1"/>
    <col min="2" max="2" width="1.19921875" customWidth="1"/>
    <col min="3" max="3" width="13.3984375" customWidth="1"/>
    <col min="4" max="4" width="8.3984375" customWidth="1"/>
    <col min="5" max="5" width="10.59765625" customWidth="1"/>
    <col min="6" max="6" width="10.796875" customWidth="1"/>
    <col min="7" max="7" width="19.796875" customWidth="1"/>
    <col min="8" max="8" width="16" customWidth="1"/>
    <col min="9" max="9" width="9.796875" customWidth="1"/>
    <col min="10" max="10" width="11.19921875" customWidth="1"/>
    <col min="11" max="11" width="8.19921875" customWidth="1"/>
    <col min="12" max="12" width="1.3984375" customWidth="1"/>
  </cols>
  <sheetData>
    <row r="1" spans="1:12" ht="44.25" customHeight="1" x14ac:dyDescent="0.15">
      <c r="A1" s="1"/>
      <c r="B1" s="30"/>
      <c r="C1" s="31"/>
      <c r="D1" s="31"/>
      <c r="E1" s="31"/>
      <c r="F1" s="31"/>
      <c r="G1" s="31"/>
      <c r="H1" s="31"/>
      <c r="I1" s="32"/>
      <c r="J1" s="30"/>
      <c r="K1" s="32"/>
      <c r="L1" s="1"/>
    </row>
    <row r="2" spans="1:12" ht="13.5" customHeight="1" x14ac:dyDescent="0.15">
      <c r="A2" s="2"/>
      <c r="B2" s="33" t="s">
        <v>0</v>
      </c>
      <c r="C2" s="34"/>
      <c r="D2" s="34"/>
      <c r="E2" s="34"/>
      <c r="F2" s="34"/>
      <c r="G2" s="34"/>
      <c r="H2" s="34"/>
      <c r="I2" s="35"/>
      <c r="J2" s="36"/>
      <c r="K2" s="37"/>
      <c r="L2" s="2"/>
    </row>
    <row r="3" spans="1:12" ht="12" customHeight="1" x14ac:dyDescent="0.15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40"/>
    </row>
    <row r="4" spans="1:12" ht="28.25" customHeight="1" x14ac:dyDescent="0.15">
      <c r="A4" s="30"/>
      <c r="B4" s="32"/>
      <c r="C4" s="3" t="s">
        <v>2</v>
      </c>
      <c r="D4" s="4" t="s">
        <v>3</v>
      </c>
      <c r="E4" s="5" t="s">
        <v>4</v>
      </c>
      <c r="F4" s="6" t="s">
        <v>5</v>
      </c>
      <c r="G4" s="1"/>
      <c r="H4" s="3" t="s">
        <v>2</v>
      </c>
      <c r="I4" s="4" t="s">
        <v>3</v>
      </c>
      <c r="J4" s="5" t="s">
        <v>4</v>
      </c>
      <c r="K4" s="41" t="s">
        <v>5</v>
      </c>
      <c r="L4" s="42"/>
    </row>
    <row r="5" spans="1:12" ht="9" customHeight="1" x14ac:dyDescent="0.15">
      <c r="A5" s="43">
        <v>3506</v>
      </c>
      <c r="B5" s="44"/>
      <c r="C5" s="45" t="s">
        <v>6</v>
      </c>
      <c r="D5" s="46"/>
      <c r="E5" s="46"/>
      <c r="F5" s="47"/>
      <c r="G5" s="7">
        <v>3506</v>
      </c>
      <c r="H5" s="45" t="s">
        <v>7</v>
      </c>
      <c r="I5" s="46"/>
      <c r="J5" s="46"/>
      <c r="K5" s="46"/>
      <c r="L5" s="47"/>
    </row>
    <row r="6" spans="1:12" ht="9" customHeight="1" x14ac:dyDescent="0.15">
      <c r="A6" s="48"/>
      <c r="B6" s="49"/>
      <c r="C6" s="8" t="s">
        <v>8</v>
      </c>
      <c r="D6" s="9">
        <v>11287.8</v>
      </c>
      <c r="E6" s="9">
        <v>13319.6</v>
      </c>
      <c r="F6" s="9">
        <v>16695</v>
      </c>
      <c r="G6" s="54"/>
      <c r="H6" s="8" t="s">
        <v>9</v>
      </c>
      <c r="I6" s="9">
        <v>16105</v>
      </c>
      <c r="J6" s="9">
        <v>19003.900000000001</v>
      </c>
      <c r="K6" s="57">
        <v>23390</v>
      </c>
      <c r="L6" s="58"/>
    </row>
    <row r="7" spans="1:12" ht="9.75" customHeight="1" x14ac:dyDescent="0.15">
      <c r="A7" s="50"/>
      <c r="B7" s="51"/>
      <c r="C7" s="8" t="s">
        <v>10</v>
      </c>
      <c r="D7" s="9">
        <v>9756</v>
      </c>
      <c r="E7" s="9">
        <v>11512.08</v>
      </c>
      <c r="F7" s="9">
        <v>14780</v>
      </c>
      <c r="G7" s="55"/>
      <c r="H7" s="8" t="s">
        <v>11</v>
      </c>
      <c r="I7" s="9">
        <v>6632</v>
      </c>
      <c r="J7" s="9">
        <v>7825.76</v>
      </c>
      <c r="K7" s="57">
        <v>9630</v>
      </c>
      <c r="L7" s="58"/>
    </row>
    <row r="8" spans="1:12" ht="9.75" customHeight="1" x14ac:dyDescent="0.15">
      <c r="A8" s="50"/>
      <c r="B8" s="51"/>
      <c r="C8" s="8" t="s">
        <v>12</v>
      </c>
      <c r="D8" s="9">
        <v>5998.2</v>
      </c>
      <c r="E8" s="9">
        <v>7077.88</v>
      </c>
      <c r="F8" s="9">
        <v>9090</v>
      </c>
      <c r="G8" s="55"/>
      <c r="H8" s="8" t="s">
        <v>13</v>
      </c>
      <c r="I8" s="9">
        <v>3426</v>
      </c>
      <c r="J8" s="9">
        <v>4042.68</v>
      </c>
      <c r="K8" s="57">
        <v>4980</v>
      </c>
      <c r="L8" s="58"/>
    </row>
    <row r="9" spans="1:12" ht="9.75" customHeight="1" x14ac:dyDescent="0.15">
      <c r="A9" s="50"/>
      <c r="B9" s="51"/>
      <c r="C9" s="8" t="s">
        <v>11</v>
      </c>
      <c r="D9" s="9">
        <v>4131</v>
      </c>
      <c r="E9" s="9">
        <v>4874.58</v>
      </c>
      <c r="F9" s="9">
        <v>6240</v>
      </c>
      <c r="G9" s="55"/>
      <c r="H9" s="8" t="s">
        <v>14</v>
      </c>
      <c r="I9" s="9">
        <v>1783</v>
      </c>
      <c r="J9" s="9">
        <v>2605</v>
      </c>
      <c r="K9" s="57">
        <v>2605</v>
      </c>
      <c r="L9" s="58"/>
    </row>
    <row r="10" spans="1:12" ht="9.75" customHeight="1" x14ac:dyDescent="0.15">
      <c r="A10" s="50"/>
      <c r="B10" s="51"/>
      <c r="C10" s="8" t="s">
        <v>13</v>
      </c>
      <c r="D10" s="9">
        <v>2173.6</v>
      </c>
      <c r="E10" s="9">
        <v>2564.85</v>
      </c>
      <c r="F10" s="9">
        <v>3280</v>
      </c>
      <c r="G10" s="55"/>
      <c r="H10" s="8" t="s">
        <v>15</v>
      </c>
      <c r="I10" s="9">
        <v>740.2</v>
      </c>
      <c r="J10" s="9">
        <v>873.44</v>
      </c>
      <c r="K10" s="57">
        <v>1105</v>
      </c>
      <c r="L10" s="58"/>
    </row>
    <row r="11" spans="1:12" ht="9.75" customHeight="1" x14ac:dyDescent="0.15">
      <c r="A11" s="50"/>
      <c r="B11" s="51"/>
      <c r="C11" s="8" t="s">
        <v>16</v>
      </c>
      <c r="D11" s="9">
        <v>1132.3</v>
      </c>
      <c r="E11" s="9">
        <v>1336.11</v>
      </c>
      <c r="F11" s="9">
        <v>1705</v>
      </c>
      <c r="G11" s="56"/>
      <c r="H11" s="8" t="s">
        <v>17</v>
      </c>
      <c r="I11" s="9">
        <v>385.1</v>
      </c>
      <c r="J11" s="9">
        <v>454.42</v>
      </c>
      <c r="K11" s="57">
        <v>580</v>
      </c>
      <c r="L11" s="58"/>
    </row>
    <row r="12" spans="1:12" ht="9.75" customHeight="1" x14ac:dyDescent="0.15">
      <c r="A12" s="50"/>
      <c r="B12" s="51"/>
      <c r="C12" s="8" t="s">
        <v>18</v>
      </c>
      <c r="D12" s="9">
        <v>471.26</v>
      </c>
      <c r="E12" s="9">
        <v>556.09</v>
      </c>
      <c r="F12" s="9">
        <v>725</v>
      </c>
      <c r="G12" s="7">
        <v>3506</v>
      </c>
      <c r="H12" s="45" t="s">
        <v>19</v>
      </c>
      <c r="I12" s="46"/>
      <c r="J12" s="46"/>
      <c r="K12" s="46"/>
      <c r="L12" s="47"/>
    </row>
    <row r="13" spans="1:12" ht="9.75" customHeight="1" x14ac:dyDescent="0.15">
      <c r="A13" s="50"/>
      <c r="B13" s="51"/>
      <c r="C13" s="8" t="s">
        <v>20</v>
      </c>
      <c r="D13" s="9">
        <v>246.69</v>
      </c>
      <c r="E13" s="9">
        <v>291.08999999999997</v>
      </c>
      <c r="F13" s="9">
        <v>395</v>
      </c>
      <c r="G13" s="54"/>
      <c r="H13" s="8" t="s">
        <v>10</v>
      </c>
      <c r="I13" s="9">
        <v>5807</v>
      </c>
      <c r="J13" s="9">
        <v>6852.26</v>
      </c>
      <c r="K13" s="57">
        <v>10945</v>
      </c>
      <c r="L13" s="58"/>
    </row>
    <row r="14" spans="1:12" ht="9.75" customHeight="1" x14ac:dyDescent="0.15">
      <c r="A14" s="50"/>
      <c r="B14" s="51"/>
      <c r="C14" s="8" t="s">
        <v>21</v>
      </c>
      <c r="D14" s="9">
        <v>132.61000000000001</v>
      </c>
      <c r="E14" s="9">
        <v>156.47999999999999</v>
      </c>
      <c r="F14" s="9">
        <v>215</v>
      </c>
      <c r="G14" s="55"/>
      <c r="H14" s="8" t="s">
        <v>11</v>
      </c>
      <c r="I14" s="9">
        <v>2381.6</v>
      </c>
      <c r="J14" s="9">
        <v>2810.29</v>
      </c>
      <c r="K14" s="57">
        <v>4455</v>
      </c>
      <c r="L14" s="58"/>
    </row>
    <row r="15" spans="1:12" ht="9.75" customHeight="1" x14ac:dyDescent="0.15">
      <c r="A15" s="50"/>
      <c r="B15" s="51"/>
      <c r="C15" s="8" t="s">
        <v>22</v>
      </c>
      <c r="D15" s="9">
        <v>74.09</v>
      </c>
      <c r="E15" s="9">
        <v>87.43</v>
      </c>
      <c r="F15" s="9">
        <v>120</v>
      </c>
      <c r="G15" s="55"/>
      <c r="H15" s="8" t="s">
        <v>16</v>
      </c>
      <c r="I15" s="9">
        <v>609.6</v>
      </c>
      <c r="J15" s="9">
        <v>719.33</v>
      </c>
      <c r="K15" s="57">
        <v>1150</v>
      </c>
      <c r="L15" s="58"/>
    </row>
    <row r="16" spans="1:12" ht="9.75" customHeight="1" x14ac:dyDescent="0.15">
      <c r="A16" s="50"/>
      <c r="B16" s="51"/>
      <c r="C16" s="8" t="s">
        <v>23</v>
      </c>
      <c r="D16" s="9">
        <v>39.53</v>
      </c>
      <c r="E16" s="9">
        <v>46.65</v>
      </c>
      <c r="F16" s="9">
        <v>70</v>
      </c>
      <c r="G16" s="55"/>
      <c r="H16" s="8" t="s">
        <v>20</v>
      </c>
      <c r="I16" s="9">
        <v>134.6</v>
      </c>
      <c r="J16" s="9">
        <v>158.83000000000001</v>
      </c>
      <c r="K16" s="57">
        <v>270</v>
      </c>
      <c r="L16" s="58"/>
    </row>
    <row r="17" spans="1:12" ht="9.75" customHeight="1" x14ac:dyDescent="0.15">
      <c r="A17" s="52"/>
      <c r="B17" s="53"/>
      <c r="C17" s="8" t="s">
        <v>24</v>
      </c>
      <c r="D17" s="9">
        <v>20.74</v>
      </c>
      <c r="E17" s="9">
        <v>24.47</v>
      </c>
      <c r="F17" s="9">
        <v>40</v>
      </c>
      <c r="G17" s="55"/>
      <c r="H17" s="10" t="s">
        <v>25</v>
      </c>
      <c r="I17" s="9">
        <v>116.5</v>
      </c>
      <c r="J17" s="9">
        <v>137.47</v>
      </c>
      <c r="K17" s="57">
        <v>255</v>
      </c>
      <c r="L17" s="58"/>
    </row>
    <row r="18" spans="1:12" ht="10.25" customHeight="1" x14ac:dyDescent="0.15">
      <c r="A18" s="43">
        <v>3506</v>
      </c>
      <c r="B18" s="44"/>
      <c r="C18" s="45" t="s">
        <v>26</v>
      </c>
      <c r="D18" s="46"/>
      <c r="E18" s="46"/>
      <c r="F18" s="47"/>
      <c r="G18" s="56"/>
      <c r="H18" s="10" t="s">
        <v>27</v>
      </c>
      <c r="I18" s="9">
        <v>64.900000000000006</v>
      </c>
      <c r="J18" s="9">
        <v>76.58</v>
      </c>
      <c r="K18" s="57">
        <v>140</v>
      </c>
      <c r="L18" s="58"/>
    </row>
    <row r="19" spans="1:12" ht="9.75" customHeight="1" x14ac:dyDescent="0.15">
      <c r="A19" s="48"/>
      <c r="B19" s="49"/>
      <c r="C19" s="8" t="s">
        <v>10</v>
      </c>
      <c r="D19" s="9">
        <v>11377.5</v>
      </c>
      <c r="E19" s="9">
        <v>13425.45</v>
      </c>
      <c r="F19" s="9">
        <v>16580</v>
      </c>
      <c r="G19" s="7">
        <v>3506</v>
      </c>
      <c r="H19" s="45" t="s">
        <v>28</v>
      </c>
      <c r="I19" s="46"/>
      <c r="J19" s="46"/>
      <c r="K19" s="46"/>
      <c r="L19" s="47"/>
    </row>
    <row r="20" spans="1:12" ht="9.75" customHeight="1" x14ac:dyDescent="0.15">
      <c r="A20" s="50"/>
      <c r="B20" s="51"/>
      <c r="C20" s="8" t="s">
        <v>12</v>
      </c>
      <c r="D20" s="9">
        <v>6976.8</v>
      </c>
      <c r="E20" s="9">
        <v>8232.6200000000008</v>
      </c>
      <c r="F20" s="9">
        <v>10175</v>
      </c>
      <c r="G20" s="54"/>
      <c r="H20" s="8" t="s">
        <v>10</v>
      </c>
      <c r="I20" s="9">
        <v>5200</v>
      </c>
      <c r="J20" s="9">
        <v>6136</v>
      </c>
      <c r="K20" s="59">
        <v>9910</v>
      </c>
      <c r="L20" s="60"/>
    </row>
    <row r="21" spans="1:12" ht="9.75" customHeight="1" x14ac:dyDescent="0.15">
      <c r="A21" s="50"/>
      <c r="B21" s="51"/>
      <c r="C21" s="8" t="s">
        <v>11</v>
      </c>
      <c r="D21" s="9">
        <v>4726.2</v>
      </c>
      <c r="E21" s="9">
        <v>5576.92</v>
      </c>
      <c r="F21" s="9">
        <v>6925</v>
      </c>
      <c r="G21" s="55"/>
      <c r="H21" s="8" t="s">
        <v>11</v>
      </c>
      <c r="I21" s="9">
        <v>2140</v>
      </c>
      <c r="J21" s="9">
        <v>2525.1999999999998</v>
      </c>
      <c r="K21" s="59">
        <v>4050</v>
      </c>
      <c r="L21" s="60"/>
    </row>
    <row r="22" spans="1:12" ht="9.75" customHeight="1" x14ac:dyDescent="0.15">
      <c r="A22" s="50"/>
      <c r="B22" s="51"/>
      <c r="C22" s="8" t="s">
        <v>13</v>
      </c>
      <c r="D22" s="9">
        <v>2467</v>
      </c>
      <c r="E22" s="9">
        <v>2911.06</v>
      </c>
      <c r="F22" s="9">
        <v>3615</v>
      </c>
      <c r="G22" s="55"/>
      <c r="H22" s="8" t="s">
        <v>13</v>
      </c>
      <c r="I22" s="9">
        <v>1090</v>
      </c>
      <c r="J22" s="9">
        <v>1286.2</v>
      </c>
      <c r="K22" s="59">
        <v>2090</v>
      </c>
      <c r="L22" s="60"/>
    </row>
    <row r="23" spans="1:12" ht="9.75" customHeight="1" x14ac:dyDescent="0.15">
      <c r="A23" s="50"/>
      <c r="B23" s="51"/>
      <c r="C23" s="8" t="s">
        <v>16</v>
      </c>
      <c r="D23" s="9">
        <v>1282.95</v>
      </c>
      <c r="E23" s="9">
        <v>1513.88</v>
      </c>
      <c r="F23" s="9">
        <v>1890</v>
      </c>
      <c r="G23" s="55"/>
      <c r="H23" s="8" t="s">
        <v>16</v>
      </c>
      <c r="I23" s="9">
        <v>555</v>
      </c>
      <c r="J23" s="9">
        <v>654.9</v>
      </c>
      <c r="K23" s="59">
        <v>1070</v>
      </c>
      <c r="L23" s="60"/>
    </row>
    <row r="24" spans="1:12" ht="10.25" customHeight="1" x14ac:dyDescent="0.15">
      <c r="A24" s="50"/>
      <c r="B24" s="51"/>
      <c r="C24" s="8" t="s">
        <v>18</v>
      </c>
      <c r="D24" s="9">
        <v>533.36</v>
      </c>
      <c r="E24" s="9">
        <v>629.36</v>
      </c>
      <c r="F24" s="9">
        <v>795</v>
      </c>
      <c r="G24" s="55"/>
      <c r="H24" s="8" t="s">
        <v>20</v>
      </c>
      <c r="I24" s="11"/>
      <c r="J24" s="11"/>
      <c r="K24" s="61"/>
      <c r="L24" s="62"/>
    </row>
    <row r="25" spans="1:12" ht="10.25" customHeight="1" x14ac:dyDescent="0.15">
      <c r="A25" s="50"/>
      <c r="B25" s="51"/>
      <c r="C25" s="8" t="s">
        <v>29</v>
      </c>
      <c r="D25" s="9">
        <v>276.81</v>
      </c>
      <c r="E25" s="9">
        <v>326.64</v>
      </c>
      <c r="F25" s="9">
        <v>435</v>
      </c>
      <c r="G25" s="55"/>
      <c r="H25" s="10" t="s">
        <v>25</v>
      </c>
      <c r="I25" s="9">
        <v>105.5</v>
      </c>
      <c r="J25" s="9">
        <v>124.49</v>
      </c>
      <c r="K25" s="59">
        <v>230</v>
      </c>
      <c r="L25" s="60"/>
    </row>
    <row r="26" spans="1:12" ht="10.25" customHeight="1" x14ac:dyDescent="0.15">
      <c r="A26" s="52"/>
      <c r="B26" s="53"/>
      <c r="C26" s="8" t="s">
        <v>30</v>
      </c>
      <c r="D26" s="9">
        <v>148.59</v>
      </c>
      <c r="E26" s="9">
        <v>175.34</v>
      </c>
      <c r="F26" s="9">
        <v>235</v>
      </c>
      <c r="G26" s="55"/>
      <c r="H26" s="10" t="s">
        <v>27</v>
      </c>
      <c r="I26" s="9">
        <v>54.5</v>
      </c>
      <c r="J26" s="9">
        <v>64.31</v>
      </c>
      <c r="K26" s="59">
        <v>140</v>
      </c>
      <c r="L26" s="60"/>
    </row>
    <row r="27" spans="1:12" ht="10.75" customHeight="1" x14ac:dyDescent="0.15">
      <c r="A27" s="43">
        <v>3506</v>
      </c>
      <c r="B27" s="44"/>
      <c r="C27" s="45" t="s">
        <v>31</v>
      </c>
      <c r="D27" s="46"/>
      <c r="E27" s="46"/>
      <c r="F27" s="47"/>
      <c r="G27" s="56"/>
      <c r="H27" s="10" t="s">
        <v>32</v>
      </c>
      <c r="I27" s="11"/>
      <c r="J27" s="11"/>
      <c r="K27" s="61"/>
      <c r="L27" s="62"/>
    </row>
    <row r="28" spans="1:12" ht="10.75" customHeight="1" x14ac:dyDescent="0.15">
      <c r="A28" s="48"/>
      <c r="B28" s="49"/>
      <c r="C28" s="8" t="s">
        <v>33</v>
      </c>
      <c r="D28" s="9">
        <v>14883.6</v>
      </c>
      <c r="E28" s="9">
        <v>17562.650000000001</v>
      </c>
      <c r="F28" s="9">
        <v>21550</v>
      </c>
      <c r="G28" s="7">
        <v>3506</v>
      </c>
      <c r="H28" s="45" t="s">
        <v>34</v>
      </c>
      <c r="I28" s="46"/>
      <c r="J28" s="46"/>
      <c r="K28" s="46"/>
      <c r="L28" s="47"/>
    </row>
    <row r="29" spans="1:12" ht="10.25" customHeight="1" x14ac:dyDescent="0.15">
      <c r="A29" s="50"/>
      <c r="B29" s="51"/>
      <c r="C29" s="8" t="s">
        <v>10</v>
      </c>
      <c r="D29" s="9">
        <v>12553.5</v>
      </c>
      <c r="E29" s="9">
        <v>14813.13</v>
      </c>
      <c r="F29" s="9">
        <v>18265</v>
      </c>
      <c r="G29" s="54"/>
      <c r="H29" s="8" t="s">
        <v>10</v>
      </c>
      <c r="I29" s="9">
        <v>4250</v>
      </c>
      <c r="J29" s="9">
        <v>5015</v>
      </c>
      <c r="K29" s="57">
        <v>7690</v>
      </c>
      <c r="L29" s="58"/>
    </row>
    <row r="30" spans="1:12" ht="10.75" customHeight="1" x14ac:dyDescent="0.15">
      <c r="A30" s="50"/>
      <c r="B30" s="51"/>
      <c r="C30" s="8" t="s">
        <v>12</v>
      </c>
      <c r="D30" s="9">
        <v>7697.4</v>
      </c>
      <c r="E30" s="9">
        <v>9082.93</v>
      </c>
      <c r="F30" s="9">
        <v>11190</v>
      </c>
      <c r="G30" s="55"/>
      <c r="H30" s="8" t="s">
        <v>11</v>
      </c>
      <c r="I30" s="9">
        <v>1864.6</v>
      </c>
      <c r="J30" s="9">
        <v>2200.23</v>
      </c>
      <c r="K30" s="57">
        <v>3295</v>
      </c>
      <c r="L30" s="58"/>
    </row>
    <row r="31" spans="1:12" ht="9.75" customHeight="1" x14ac:dyDescent="0.15">
      <c r="A31" s="50"/>
      <c r="B31" s="51"/>
      <c r="C31" s="8" t="s">
        <v>11</v>
      </c>
      <c r="D31" s="9">
        <v>5222.3999999999996</v>
      </c>
      <c r="E31" s="9">
        <v>6162.43</v>
      </c>
      <c r="F31" s="9">
        <v>7615</v>
      </c>
      <c r="G31" s="55"/>
      <c r="H31" s="8" t="s">
        <v>35</v>
      </c>
      <c r="I31" s="9">
        <v>932.3</v>
      </c>
      <c r="J31" s="9">
        <v>1100.1099999999999</v>
      </c>
      <c r="K31" s="57">
        <v>1690</v>
      </c>
      <c r="L31" s="58"/>
    </row>
    <row r="32" spans="1:12" ht="9.75" customHeight="1" x14ac:dyDescent="0.15">
      <c r="A32" s="50"/>
      <c r="B32" s="51"/>
      <c r="C32" s="8" t="s">
        <v>13</v>
      </c>
      <c r="D32" s="9">
        <v>2716.3</v>
      </c>
      <c r="E32" s="9">
        <v>3205.23</v>
      </c>
      <c r="F32" s="9">
        <v>3950</v>
      </c>
      <c r="G32" s="55"/>
      <c r="H32" s="8" t="s">
        <v>16</v>
      </c>
      <c r="I32" s="9">
        <v>475</v>
      </c>
      <c r="J32" s="9">
        <v>560.5</v>
      </c>
      <c r="K32" s="57">
        <v>870</v>
      </c>
      <c r="L32" s="58"/>
    </row>
    <row r="33" spans="1:12" ht="9" customHeight="1" x14ac:dyDescent="0.15">
      <c r="A33" s="50"/>
      <c r="B33" s="51"/>
      <c r="C33" s="8" t="s">
        <v>14</v>
      </c>
      <c r="D33" s="9">
        <v>1403.95</v>
      </c>
      <c r="E33" s="9">
        <v>1656.66</v>
      </c>
      <c r="F33" s="9">
        <v>2060</v>
      </c>
      <c r="G33" s="55"/>
      <c r="H33" s="8" t="s">
        <v>20</v>
      </c>
      <c r="I33" s="9">
        <v>97</v>
      </c>
      <c r="J33" s="9">
        <v>114.46</v>
      </c>
      <c r="K33" s="57">
        <v>180</v>
      </c>
      <c r="L33" s="58"/>
    </row>
    <row r="34" spans="1:12" ht="9.75" customHeight="1" x14ac:dyDescent="0.15">
      <c r="A34" s="50"/>
      <c r="B34" s="51"/>
      <c r="C34" s="8" t="s">
        <v>15</v>
      </c>
      <c r="D34" s="9">
        <v>588.02</v>
      </c>
      <c r="E34" s="9">
        <v>693.86</v>
      </c>
      <c r="F34" s="9">
        <v>865</v>
      </c>
      <c r="G34" s="56"/>
      <c r="H34" s="10" t="s">
        <v>36</v>
      </c>
      <c r="I34" s="9">
        <v>88</v>
      </c>
      <c r="J34" s="9">
        <v>103.84</v>
      </c>
      <c r="K34" s="57">
        <v>170</v>
      </c>
      <c r="L34" s="58"/>
    </row>
    <row r="35" spans="1:12" ht="9" customHeight="1" x14ac:dyDescent="0.15">
      <c r="A35" s="50"/>
      <c r="B35" s="51"/>
      <c r="C35" s="8" t="s">
        <v>17</v>
      </c>
      <c r="D35" s="9">
        <v>306.08</v>
      </c>
      <c r="E35" s="9">
        <v>361.17</v>
      </c>
      <c r="F35" s="9">
        <v>465</v>
      </c>
      <c r="G35" s="7">
        <v>3506</v>
      </c>
      <c r="H35" s="63" t="s">
        <v>37</v>
      </c>
      <c r="I35" s="64"/>
      <c r="J35" s="64"/>
      <c r="K35" s="64"/>
      <c r="L35" s="65"/>
    </row>
    <row r="36" spans="1:12" ht="9.75" customHeight="1" x14ac:dyDescent="0.15">
      <c r="A36" s="52"/>
      <c r="B36" s="53"/>
      <c r="C36" s="8" t="s">
        <v>21</v>
      </c>
      <c r="D36" s="9">
        <v>163.63</v>
      </c>
      <c r="E36" s="9">
        <v>193.08</v>
      </c>
      <c r="F36" s="9">
        <v>255</v>
      </c>
      <c r="G36" s="54"/>
      <c r="H36" s="8" t="s">
        <v>38</v>
      </c>
      <c r="I36" s="9">
        <v>440.6</v>
      </c>
      <c r="J36" s="9">
        <v>519.91</v>
      </c>
      <c r="K36" s="57">
        <v>870</v>
      </c>
      <c r="L36" s="58"/>
    </row>
    <row r="37" spans="1:12" ht="9" customHeight="1" x14ac:dyDescent="0.15">
      <c r="A37" s="43">
        <v>3506</v>
      </c>
      <c r="B37" s="44"/>
      <c r="C37" s="45" t="s">
        <v>39</v>
      </c>
      <c r="D37" s="46"/>
      <c r="E37" s="46"/>
      <c r="F37" s="47"/>
      <c r="G37" s="55"/>
      <c r="H37" s="45" t="s">
        <v>40</v>
      </c>
      <c r="I37" s="46"/>
      <c r="J37" s="46"/>
      <c r="K37" s="46"/>
      <c r="L37" s="47"/>
    </row>
    <row r="38" spans="1:12" ht="9.5" customHeight="1" x14ac:dyDescent="0.15">
      <c r="A38" s="48"/>
      <c r="B38" s="49"/>
      <c r="C38" s="8" t="s">
        <v>33</v>
      </c>
      <c r="D38" s="9">
        <v>17454</v>
      </c>
      <c r="E38" s="9">
        <v>20595.72</v>
      </c>
      <c r="F38" s="9">
        <v>25350</v>
      </c>
      <c r="G38" s="55"/>
      <c r="H38" s="8" t="s">
        <v>41</v>
      </c>
      <c r="I38" s="9">
        <v>295</v>
      </c>
      <c r="J38" s="9">
        <v>348.1</v>
      </c>
      <c r="K38" s="57">
        <v>470</v>
      </c>
      <c r="L38" s="58"/>
    </row>
    <row r="39" spans="1:12" ht="9.5" customHeight="1" x14ac:dyDescent="0.15">
      <c r="A39" s="50"/>
      <c r="B39" s="51"/>
      <c r="C39" s="8" t="s">
        <v>10</v>
      </c>
      <c r="D39" s="9">
        <v>14545</v>
      </c>
      <c r="E39" s="9">
        <v>17163.099999999999</v>
      </c>
      <c r="F39" s="9">
        <v>21130</v>
      </c>
      <c r="G39" s="55"/>
      <c r="H39" s="45" t="s">
        <v>42</v>
      </c>
      <c r="I39" s="46"/>
      <c r="J39" s="46"/>
      <c r="K39" s="46"/>
      <c r="L39" s="47"/>
    </row>
    <row r="40" spans="1:12" ht="10.25" customHeight="1" x14ac:dyDescent="0.15">
      <c r="A40" s="50"/>
      <c r="B40" s="51"/>
      <c r="C40" s="8" t="s">
        <v>12</v>
      </c>
      <c r="D40" s="9">
        <v>8817</v>
      </c>
      <c r="E40" s="9">
        <v>10404.06</v>
      </c>
      <c r="F40" s="9">
        <v>12810</v>
      </c>
      <c r="G40" s="55"/>
      <c r="H40" s="8" t="s">
        <v>43</v>
      </c>
      <c r="I40" s="9">
        <v>476.5</v>
      </c>
      <c r="J40" s="9">
        <v>562.27</v>
      </c>
      <c r="K40" s="57">
        <v>850</v>
      </c>
      <c r="L40" s="58"/>
    </row>
    <row r="41" spans="1:12" ht="10.25" customHeight="1" x14ac:dyDescent="0.15">
      <c r="A41" s="50"/>
      <c r="B41" s="51"/>
      <c r="C41" s="8" t="s">
        <v>11</v>
      </c>
      <c r="D41" s="9">
        <v>5988</v>
      </c>
      <c r="E41" s="9">
        <v>7065.84</v>
      </c>
      <c r="F41" s="9">
        <v>8690</v>
      </c>
      <c r="G41" s="55"/>
      <c r="H41" s="66" t="s">
        <v>44</v>
      </c>
      <c r="I41" s="67"/>
      <c r="J41" s="67"/>
      <c r="K41" s="67"/>
      <c r="L41" s="68"/>
    </row>
    <row r="42" spans="1:12" ht="10.25" customHeight="1" x14ac:dyDescent="0.15">
      <c r="A42" s="50"/>
      <c r="B42" s="51"/>
      <c r="C42" s="8" t="s">
        <v>13</v>
      </c>
      <c r="D42" s="9">
        <v>3094</v>
      </c>
      <c r="E42" s="9">
        <v>3650.92</v>
      </c>
      <c r="F42" s="9">
        <v>4495</v>
      </c>
      <c r="G42" s="55"/>
      <c r="H42" s="8" t="s">
        <v>45</v>
      </c>
      <c r="I42" s="9">
        <v>562.1</v>
      </c>
      <c r="J42" s="9">
        <v>663.28</v>
      </c>
      <c r="K42" s="57">
        <v>865</v>
      </c>
      <c r="L42" s="58"/>
    </row>
    <row r="43" spans="1:12" ht="10.25" customHeight="1" x14ac:dyDescent="0.15">
      <c r="A43" s="50"/>
      <c r="B43" s="51"/>
      <c r="C43" s="8" t="s">
        <v>14</v>
      </c>
      <c r="D43" s="9">
        <v>1609.5</v>
      </c>
      <c r="E43" s="9">
        <v>1899.21</v>
      </c>
      <c r="F43" s="9">
        <v>2365</v>
      </c>
      <c r="G43" s="55"/>
      <c r="H43" s="8" t="s">
        <v>46</v>
      </c>
      <c r="I43" s="9">
        <v>299.2</v>
      </c>
      <c r="J43" s="9">
        <v>353.06</v>
      </c>
      <c r="K43" s="57">
        <v>465</v>
      </c>
      <c r="L43" s="58"/>
    </row>
    <row r="44" spans="1:12" ht="9" customHeight="1" x14ac:dyDescent="0.15">
      <c r="A44" s="50"/>
      <c r="B44" s="51"/>
      <c r="C44" s="8" t="s">
        <v>15</v>
      </c>
      <c r="D44" s="9">
        <v>668.8</v>
      </c>
      <c r="E44" s="9">
        <v>789.18</v>
      </c>
      <c r="F44" s="9">
        <v>1010</v>
      </c>
      <c r="G44" s="55"/>
      <c r="H44" s="12" t="s">
        <v>47</v>
      </c>
      <c r="I44" s="9">
        <v>280</v>
      </c>
      <c r="J44" s="9">
        <v>330.4</v>
      </c>
      <c r="K44" s="57">
        <v>549</v>
      </c>
      <c r="L44" s="58"/>
    </row>
    <row r="45" spans="1:12" ht="10.75" customHeight="1" x14ac:dyDescent="0.15">
      <c r="A45" s="52"/>
      <c r="B45" s="53"/>
      <c r="C45" s="8" t="s">
        <v>17</v>
      </c>
      <c r="D45" s="9">
        <v>347.9</v>
      </c>
      <c r="E45" s="9">
        <v>410.52</v>
      </c>
      <c r="F45" s="9">
        <v>525</v>
      </c>
      <c r="G45" s="55"/>
      <c r="H45" s="45" t="s">
        <v>48</v>
      </c>
      <c r="I45" s="46"/>
      <c r="J45" s="46"/>
      <c r="K45" s="46"/>
      <c r="L45" s="47"/>
    </row>
    <row r="46" spans="1:12" ht="9.25" customHeight="1" x14ac:dyDescent="0.15">
      <c r="A46" s="43">
        <v>3506</v>
      </c>
      <c r="B46" s="44"/>
      <c r="C46" s="8" t="s">
        <v>21</v>
      </c>
      <c r="D46" s="9">
        <v>188.2</v>
      </c>
      <c r="E46" s="9">
        <v>222.08</v>
      </c>
      <c r="F46" s="9">
        <v>295</v>
      </c>
      <c r="G46" s="55"/>
      <c r="H46" s="8" t="s">
        <v>49</v>
      </c>
      <c r="I46" s="9">
        <v>86</v>
      </c>
      <c r="J46" s="9">
        <v>101.48</v>
      </c>
      <c r="K46" s="57">
        <v>160</v>
      </c>
      <c r="L46" s="58"/>
    </row>
    <row r="47" spans="1:12" ht="10.25" customHeight="1" x14ac:dyDescent="0.15">
      <c r="A47" s="48"/>
      <c r="B47" s="49"/>
      <c r="C47" s="45" t="s">
        <v>50</v>
      </c>
      <c r="D47" s="46"/>
      <c r="E47" s="46"/>
      <c r="F47" s="47"/>
      <c r="G47" s="55"/>
      <c r="H47" s="8" t="s">
        <v>51</v>
      </c>
      <c r="I47" s="9">
        <v>43.2</v>
      </c>
      <c r="J47" s="9">
        <v>50.98</v>
      </c>
      <c r="K47" s="57">
        <v>80</v>
      </c>
      <c r="L47" s="58"/>
    </row>
    <row r="48" spans="1:12" ht="10.25" customHeight="1" x14ac:dyDescent="0.15">
      <c r="A48" s="50"/>
      <c r="B48" s="51"/>
      <c r="C48" s="8" t="s">
        <v>52</v>
      </c>
      <c r="D48" s="9">
        <v>2130.5</v>
      </c>
      <c r="E48" s="9">
        <v>2513.9899999999998</v>
      </c>
      <c r="F48" s="9">
        <v>3095</v>
      </c>
      <c r="G48" s="55"/>
      <c r="H48" s="63" t="s">
        <v>53</v>
      </c>
      <c r="I48" s="64"/>
      <c r="J48" s="64"/>
      <c r="K48" s="64"/>
      <c r="L48" s="65"/>
    </row>
    <row r="49" spans="1:12" ht="9.25" customHeight="1" x14ac:dyDescent="0.15">
      <c r="A49" s="50"/>
      <c r="B49" s="51"/>
      <c r="C49" s="8" t="s">
        <v>54</v>
      </c>
      <c r="D49" s="9">
        <v>880.2</v>
      </c>
      <c r="E49" s="9">
        <v>1038.6400000000001</v>
      </c>
      <c r="F49" s="9">
        <v>1305</v>
      </c>
      <c r="G49" s="55"/>
      <c r="H49" s="8" t="s">
        <v>55</v>
      </c>
      <c r="I49" s="9">
        <v>1357.2</v>
      </c>
      <c r="J49" s="9">
        <v>1601.5</v>
      </c>
      <c r="K49" s="57">
        <v>2030</v>
      </c>
      <c r="L49" s="58"/>
    </row>
    <row r="50" spans="1:12" ht="9.75" customHeight="1" x14ac:dyDescent="0.15">
      <c r="A50" s="50"/>
      <c r="B50" s="51"/>
      <c r="C50" s="8" t="s">
        <v>56</v>
      </c>
      <c r="D50" s="9">
        <v>453.6</v>
      </c>
      <c r="E50" s="9">
        <v>535.25</v>
      </c>
      <c r="F50" s="9">
        <v>680</v>
      </c>
      <c r="G50" s="56"/>
      <c r="H50" s="8" t="s">
        <v>57</v>
      </c>
      <c r="I50" s="9">
        <v>746.8</v>
      </c>
      <c r="J50" s="9">
        <v>881.22</v>
      </c>
      <c r="K50" s="57">
        <v>1270</v>
      </c>
      <c r="L50" s="58"/>
    </row>
    <row r="51" spans="1:12" ht="9" customHeight="1" x14ac:dyDescent="0.15">
      <c r="A51" s="50"/>
      <c r="B51" s="51"/>
      <c r="C51" s="8" t="s">
        <v>58</v>
      </c>
      <c r="D51" s="9">
        <v>233.3</v>
      </c>
      <c r="E51" s="9">
        <v>275.29000000000002</v>
      </c>
      <c r="F51" s="9">
        <v>365</v>
      </c>
      <c r="G51" s="7">
        <v>3808</v>
      </c>
      <c r="H51" s="8" t="s">
        <v>59</v>
      </c>
      <c r="I51" s="9">
        <v>282.8</v>
      </c>
      <c r="J51" s="9">
        <v>333.7</v>
      </c>
      <c r="K51" s="57">
        <v>435</v>
      </c>
      <c r="L51" s="58"/>
    </row>
    <row r="52" spans="1:12" ht="9.75" customHeight="1" x14ac:dyDescent="0.15">
      <c r="A52" s="52"/>
      <c r="B52" s="53"/>
      <c r="C52" s="8" t="s">
        <v>60</v>
      </c>
      <c r="D52" s="9">
        <v>108.8</v>
      </c>
      <c r="E52" s="9">
        <v>128.38</v>
      </c>
      <c r="F52" s="9">
        <v>185</v>
      </c>
      <c r="G52" s="54"/>
      <c r="H52" s="8" t="s">
        <v>61</v>
      </c>
      <c r="I52" s="9">
        <v>154.1</v>
      </c>
      <c r="J52" s="9">
        <v>181.84</v>
      </c>
      <c r="K52" s="57">
        <v>235</v>
      </c>
      <c r="L52" s="58"/>
    </row>
    <row r="53" spans="1:12" ht="9.75" customHeight="1" x14ac:dyDescent="0.15">
      <c r="A53" s="43">
        <v>3506</v>
      </c>
      <c r="B53" s="44"/>
      <c r="C53" s="10" t="s">
        <v>62</v>
      </c>
      <c r="D53" s="9">
        <v>59.8</v>
      </c>
      <c r="E53" s="9">
        <v>70.56</v>
      </c>
      <c r="F53" s="9">
        <v>105</v>
      </c>
      <c r="G53" s="55"/>
      <c r="H53" s="8" t="s">
        <v>63</v>
      </c>
      <c r="I53" s="9">
        <v>81.5</v>
      </c>
      <c r="J53" s="9">
        <v>96.17</v>
      </c>
      <c r="K53" s="57">
        <v>130</v>
      </c>
      <c r="L53" s="58"/>
    </row>
    <row r="54" spans="1:12" ht="10.25" customHeight="1" x14ac:dyDescent="0.15">
      <c r="A54" s="48"/>
      <c r="B54" s="49"/>
      <c r="C54" s="45" t="s">
        <v>64</v>
      </c>
      <c r="D54" s="46"/>
      <c r="E54" s="46"/>
      <c r="F54" s="47"/>
      <c r="G54" s="55"/>
      <c r="H54" s="8" t="s">
        <v>65</v>
      </c>
      <c r="I54" s="9">
        <v>41.4</v>
      </c>
      <c r="J54" s="9">
        <v>48.85</v>
      </c>
      <c r="K54" s="57">
        <v>70</v>
      </c>
      <c r="L54" s="58"/>
    </row>
    <row r="55" spans="1:12" ht="10.25" customHeight="1" x14ac:dyDescent="0.15">
      <c r="A55" s="50"/>
      <c r="B55" s="51"/>
      <c r="C55" s="8" t="s">
        <v>66</v>
      </c>
      <c r="D55" s="9">
        <v>8667.5</v>
      </c>
      <c r="E55" s="9">
        <v>10227.65</v>
      </c>
      <c r="F55" s="9">
        <v>12270</v>
      </c>
      <c r="G55" s="55"/>
      <c r="H55" s="8" t="s">
        <v>67</v>
      </c>
      <c r="I55" s="9">
        <v>335.3</v>
      </c>
      <c r="J55" s="9">
        <v>395.65</v>
      </c>
      <c r="K55" s="57">
        <v>530</v>
      </c>
      <c r="L55" s="58"/>
    </row>
    <row r="56" spans="1:12" ht="10.25" customHeight="1" x14ac:dyDescent="0.15">
      <c r="A56" s="50"/>
      <c r="B56" s="51"/>
      <c r="C56" s="8" t="s">
        <v>55</v>
      </c>
      <c r="D56" s="9">
        <v>1799.1</v>
      </c>
      <c r="E56" s="9">
        <v>2122.94</v>
      </c>
      <c r="F56" s="9">
        <v>2560</v>
      </c>
      <c r="G56" s="55"/>
      <c r="H56" s="8" t="s">
        <v>68</v>
      </c>
      <c r="I56" s="9">
        <v>200.4</v>
      </c>
      <c r="J56" s="9">
        <v>236.47</v>
      </c>
      <c r="K56" s="57">
        <v>320</v>
      </c>
      <c r="L56" s="58"/>
    </row>
    <row r="57" spans="1:12" ht="10.25" customHeight="1" x14ac:dyDescent="0.15">
      <c r="A57" s="50"/>
      <c r="B57" s="51"/>
      <c r="C57" s="8" t="s">
        <v>69</v>
      </c>
      <c r="D57" s="9">
        <v>749.4</v>
      </c>
      <c r="E57" s="9">
        <v>884.29</v>
      </c>
      <c r="F57" s="9">
        <v>1070</v>
      </c>
      <c r="G57" s="55"/>
      <c r="H57" s="8" t="s">
        <v>70</v>
      </c>
      <c r="I57" s="9">
        <v>157</v>
      </c>
      <c r="J57" s="9">
        <v>185.26</v>
      </c>
      <c r="K57" s="57">
        <v>250</v>
      </c>
      <c r="L57" s="58"/>
    </row>
    <row r="58" spans="1:12" ht="10.25" customHeight="1" x14ac:dyDescent="0.15">
      <c r="A58" s="52"/>
      <c r="B58" s="53"/>
      <c r="C58" s="8" t="s">
        <v>59</v>
      </c>
      <c r="D58" s="9">
        <v>384.1</v>
      </c>
      <c r="E58" s="9">
        <v>453.24</v>
      </c>
      <c r="F58" s="9">
        <v>585</v>
      </c>
      <c r="G58" s="55"/>
      <c r="H58" s="69" t="s">
        <v>71</v>
      </c>
      <c r="I58" s="70"/>
      <c r="J58" s="70"/>
      <c r="K58" s="70"/>
      <c r="L58" s="71"/>
    </row>
    <row r="59" spans="1:12" ht="10.25" customHeight="1" x14ac:dyDescent="0.15">
      <c r="A59" s="43">
        <v>3506</v>
      </c>
      <c r="B59" s="44"/>
      <c r="C59" s="8" t="s">
        <v>61</v>
      </c>
      <c r="D59" s="9">
        <v>206.9</v>
      </c>
      <c r="E59" s="9">
        <v>244.14</v>
      </c>
      <c r="F59" s="9">
        <v>315</v>
      </c>
      <c r="G59" s="55"/>
      <c r="H59" s="8" t="s">
        <v>55</v>
      </c>
      <c r="I59" s="9">
        <v>1533.5</v>
      </c>
      <c r="J59" s="9">
        <v>1809.53</v>
      </c>
      <c r="K59" s="57">
        <v>2295</v>
      </c>
      <c r="L59" s="58"/>
    </row>
    <row r="60" spans="1:12" ht="10.25" customHeight="1" x14ac:dyDescent="0.15">
      <c r="A60" s="48"/>
      <c r="B60" s="72"/>
      <c r="C60" s="8" t="s">
        <v>72</v>
      </c>
      <c r="D60" s="9">
        <v>95</v>
      </c>
      <c r="E60" s="9">
        <v>112.1</v>
      </c>
      <c r="F60" s="9">
        <v>165</v>
      </c>
      <c r="G60" s="55"/>
      <c r="H60" s="8" t="s">
        <v>59</v>
      </c>
      <c r="I60" s="9">
        <v>325.60000000000002</v>
      </c>
      <c r="J60" s="9">
        <v>384.21</v>
      </c>
      <c r="K60" s="57">
        <v>490</v>
      </c>
      <c r="L60" s="58"/>
    </row>
    <row r="61" spans="1:12" ht="9.75" customHeight="1" x14ac:dyDescent="0.15">
      <c r="A61" s="50"/>
      <c r="B61" s="73"/>
      <c r="C61" s="8" t="s">
        <v>65</v>
      </c>
      <c r="D61" s="9">
        <v>53.3</v>
      </c>
      <c r="E61" s="9">
        <v>62.89</v>
      </c>
      <c r="F61" s="9">
        <v>100</v>
      </c>
      <c r="G61" s="55"/>
      <c r="H61" s="8" t="s">
        <v>61</v>
      </c>
      <c r="I61" s="9">
        <v>174.6</v>
      </c>
      <c r="J61" s="9">
        <v>206.03</v>
      </c>
      <c r="K61" s="57">
        <v>265</v>
      </c>
      <c r="L61" s="58"/>
    </row>
    <row r="62" spans="1:12" ht="9.75" customHeight="1" x14ac:dyDescent="0.15">
      <c r="A62" s="50"/>
      <c r="B62" s="73"/>
      <c r="C62" s="64" t="s">
        <v>73</v>
      </c>
      <c r="D62" s="64"/>
      <c r="E62" s="64"/>
      <c r="F62" s="65"/>
      <c r="G62" s="55"/>
      <c r="H62" s="75" t="s">
        <v>74</v>
      </c>
      <c r="I62" s="76"/>
      <c r="J62" s="76"/>
      <c r="K62" s="76"/>
      <c r="L62" s="77"/>
    </row>
    <row r="63" spans="1:12" ht="9.75" customHeight="1" x14ac:dyDescent="0.15">
      <c r="A63" s="50"/>
      <c r="B63" s="73"/>
      <c r="C63" s="8" t="s">
        <v>75</v>
      </c>
      <c r="D63" s="9">
        <v>6650</v>
      </c>
      <c r="E63" s="9">
        <v>7847</v>
      </c>
      <c r="F63" s="9">
        <v>9625</v>
      </c>
      <c r="G63" s="55"/>
      <c r="H63" s="8" t="s">
        <v>51</v>
      </c>
      <c r="I63" s="9">
        <v>44.4</v>
      </c>
      <c r="J63" s="9">
        <v>52.39</v>
      </c>
      <c r="K63" s="57">
        <v>85</v>
      </c>
      <c r="L63" s="58"/>
    </row>
    <row r="64" spans="1:12" ht="9.75" customHeight="1" x14ac:dyDescent="0.15">
      <c r="A64" s="50"/>
      <c r="B64" s="73"/>
      <c r="C64" s="8" t="s">
        <v>13</v>
      </c>
      <c r="D64" s="9">
        <v>3351</v>
      </c>
      <c r="E64" s="9">
        <v>3954.18</v>
      </c>
      <c r="F64" s="9">
        <v>4890</v>
      </c>
      <c r="G64" s="55"/>
      <c r="H64" s="8" t="s">
        <v>76</v>
      </c>
      <c r="I64" s="9">
        <v>174.7</v>
      </c>
      <c r="J64" s="9">
        <v>206.15</v>
      </c>
      <c r="K64" s="57">
        <v>420</v>
      </c>
      <c r="L64" s="58"/>
    </row>
    <row r="65" spans="1:12" ht="10.75" customHeight="1" x14ac:dyDescent="0.15">
      <c r="A65" s="50"/>
      <c r="B65" s="73"/>
      <c r="C65" s="8" t="s">
        <v>16</v>
      </c>
      <c r="D65" s="9">
        <v>1745</v>
      </c>
      <c r="E65" s="9">
        <v>2059.1</v>
      </c>
      <c r="F65" s="9">
        <v>2600</v>
      </c>
      <c r="G65" s="56"/>
      <c r="H65" s="8" t="s">
        <v>77</v>
      </c>
      <c r="I65" s="9">
        <v>336.6</v>
      </c>
      <c r="J65" s="9">
        <v>397.19</v>
      </c>
      <c r="K65" s="57">
        <v>800</v>
      </c>
      <c r="L65" s="58"/>
    </row>
    <row r="66" spans="1:12" ht="9" customHeight="1" x14ac:dyDescent="0.15">
      <c r="A66" s="50"/>
      <c r="B66" s="73"/>
      <c r="C66" s="8" t="s">
        <v>29</v>
      </c>
      <c r="D66" s="9">
        <v>362</v>
      </c>
      <c r="E66" s="9">
        <v>427.16</v>
      </c>
      <c r="F66" s="9">
        <v>565</v>
      </c>
      <c r="G66" s="13"/>
      <c r="H66" s="45" t="s">
        <v>78</v>
      </c>
      <c r="I66" s="46"/>
      <c r="J66" s="46"/>
      <c r="K66" s="46"/>
      <c r="L66" s="47"/>
    </row>
    <row r="67" spans="1:12" ht="10.25" customHeight="1" x14ac:dyDescent="0.15">
      <c r="A67" s="50"/>
      <c r="B67" s="73"/>
      <c r="C67" s="8" t="s">
        <v>79</v>
      </c>
      <c r="D67" s="9">
        <v>201</v>
      </c>
      <c r="E67" s="9">
        <v>237.18</v>
      </c>
      <c r="F67" s="9">
        <v>320</v>
      </c>
      <c r="G67" s="54"/>
      <c r="H67" s="8" t="s">
        <v>80</v>
      </c>
      <c r="I67" s="9">
        <v>444.8</v>
      </c>
      <c r="J67" s="9">
        <v>524.86</v>
      </c>
      <c r="K67" s="57">
        <v>835</v>
      </c>
      <c r="L67" s="58"/>
    </row>
    <row r="68" spans="1:12" ht="9" customHeight="1" x14ac:dyDescent="0.15">
      <c r="A68" s="50"/>
      <c r="B68" s="73"/>
      <c r="C68" s="14" t="s">
        <v>81</v>
      </c>
      <c r="D68" s="9">
        <v>74</v>
      </c>
      <c r="E68" s="9">
        <v>87.32</v>
      </c>
      <c r="F68" s="9">
        <v>125</v>
      </c>
      <c r="G68" s="55"/>
      <c r="H68" s="48"/>
      <c r="I68" s="72"/>
      <c r="J68" s="72"/>
      <c r="K68" s="72"/>
      <c r="L68" s="49"/>
    </row>
    <row r="69" spans="1:12" ht="9" customHeight="1" x14ac:dyDescent="0.15">
      <c r="A69" s="50"/>
      <c r="B69" s="73"/>
      <c r="C69" s="12" t="s">
        <v>82</v>
      </c>
      <c r="D69" s="15">
        <v>295</v>
      </c>
      <c r="E69" s="9">
        <v>348.1</v>
      </c>
      <c r="F69" s="9">
        <v>470</v>
      </c>
      <c r="G69" s="55"/>
      <c r="H69" s="50"/>
      <c r="I69" s="73"/>
      <c r="J69" s="73"/>
      <c r="K69" s="73"/>
      <c r="L69" s="51"/>
    </row>
    <row r="70" spans="1:12" ht="9" customHeight="1" x14ac:dyDescent="0.15">
      <c r="A70" s="52"/>
      <c r="B70" s="74"/>
      <c r="C70" s="12" t="s">
        <v>83</v>
      </c>
      <c r="D70" s="9">
        <v>336</v>
      </c>
      <c r="E70" s="9">
        <v>396.48</v>
      </c>
      <c r="F70" s="9">
        <v>595</v>
      </c>
      <c r="G70" s="56"/>
      <c r="H70" s="52"/>
      <c r="I70" s="74"/>
      <c r="J70" s="74"/>
      <c r="K70" s="74"/>
      <c r="L70" s="53"/>
    </row>
    <row r="71" spans="1:12" ht="9" customHeight="1" x14ac:dyDescent="0.15">
      <c r="A71" s="78" t="s">
        <v>84</v>
      </c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80"/>
    </row>
  </sheetData>
  <mergeCells count="100">
    <mergeCell ref="A71:L71"/>
    <mergeCell ref="K57:L57"/>
    <mergeCell ref="H58:L58"/>
    <mergeCell ref="A59:B59"/>
    <mergeCell ref="K59:L59"/>
    <mergeCell ref="A60:B70"/>
    <mergeCell ref="K60:L60"/>
    <mergeCell ref="K61:L61"/>
    <mergeCell ref="C62:F62"/>
    <mergeCell ref="H62:L62"/>
    <mergeCell ref="K63:L63"/>
    <mergeCell ref="K64:L64"/>
    <mergeCell ref="K65:L65"/>
    <mergeCell ref="H66:L66"/>
    <mergeCell ref="G67:G70"/>
    <mergeCell ref="K67:L67"/>
    <mergeCell ref="H68:L70"/>
    <mergeCell ref="A47:B52"/>
    <mergeCell ref="C47:F47"/>
    <mergeCell ref="K47:L47"/>
    <mergeCell ref="H48:L48"/>
    <mergeCell ref="K49:L49"/>
    <mergeCell ref="K50:L50"/>
    <mergeCell ref="K51:L51"/>
    <mergeCell ref="G52:G65"/>
    <mergeCell ref="K52:L52"/>
    <mergeCell ref="A53:B53"/>
    <mergeCell ref="K53:L53"/>
    <mergeCell ref="A54:B58"/>
    <mergeCell ref="C54:F54"/>
    <mergeCell ref="K54:L54"/>
    <mergeCell ref="K55:L55"/>
    <mergeCell ref="K56:L56"/>
    <mergeCell ref="K43:L43"/>
    <mergeCell ref="K44:L44"/>
    <mergeCell ref="H45:L45"/>
    <mergeCell ref="A46:B46"/>
    <mergeCell ref="K46:L46"/>
    <mergeCell ref="K38:L38"/>
    <mergeCell ref="H39:L39"/>
    <mergeCell ref="K40:L40"/>
    <mergeCell ref="H41:L41"/>
    <mergeCell ref="K42:L42"/>
    <mergeCell ref="A28:B36"/>
    <mergeCell ref="H28:L28"/>
    <mergeCell ref="G29:G34"/>
    <mergeCell ref="K29:L29"/>
    <mergeCell ref="K30:L30"/>
    <mergeCell ref="K31:L31"/>
    <mergeCell ref="K32:L32"/>
    <mergeCell ref="K33:L33"/>
    <mergeCell ref="K34:L34"/>
    <mergeCell ref="H35:L35"/>
    <mergeCell ref="G36:G50"/>
    <mergeCell ref="K36:L36"/>
    <mergeCell ref="A37:B37"/>
    <mergeCell ref="C37:F37"/>
    <mergeCell ref="H37:L37"/>
    <mergeCell ref="A38:B45"/>
    <mergeCell ref="C18:F18"/>
    <mergeCell ref="K18:L18"/>
    <mergeCell ref="A19:B26"/>
    <mergeCell ref="H19:L19"/>
    <mergeCell ref="G20:G27"/>
    <mergeCell ref="K20:L20"/>
    <mergeCell ref="K21:L21"/>
    <mergeCell ref="K22:L22"/>
    <mergeCell ref="K23:L23"/>
    <mergeCell ref="K24:L24"/>
    <mergeCell ref="K25:L25"/>
    <mergeCell ref="K26:L26"/>
    <mergeCell ref="A27:B27"/>
    <mergeCell ref="C27:F27"/>
    <mergeCell ref="K27:L27"/>
    <mergeCell ref="A6:B17"/>
    <mergeCell ref="G6:G11"/>
    <mergeCell ref="K6:L6"/>
    <mergeCell ref="K7:L7"/>
    <mergeCell ref="K8:L8"/>
    <mergeCell ref="K9:L9"/>
    <mergeCell ref="K10:L10"/>
    <mergeCell ref="K11:L11"/>
    <mergeCell ref="H12:L12"/>
    <mergeCell ref="G13:G18"/>
    <mergeCell ref="K13:L13"/>
    <mergeCell ref="K14:L14"/>
    <mergeCell ref="K15:L15"/>
    <mergeCell ref="K16:L16"/>
    <mergeCell ref="K17:L17"/>
    <mergeCell ref="A18:B18"/>
    <mergeCell ref="A4:B4"/>
    <mergeCell ref="K4:L4"/>
    <mergeCell ref="A5:B5"/>
    <mergeCell ref="C5:F5"/>
    <mergeCell ref="H5:L5"/>
    <mergeCell ref="B1:I1"/>
    <mergeCell ref="J1:K1"/>
    <mergeCell ref="B2:I2"/>
    <mergeCell ref="J2:K2"/>
    <mergeCell ref="A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C398-149F-1642-BEDD-C86487C610DF}">
  <dimension ref="B2:I76"/>
  <sheetViews>
    <sheetView tabSelected="1" zoomScale="125" workbookViewId="0">
      <selection activeCell="J4" sqref="J4"/>
    </sheetView>
  </sheetViews>
  <sheetFormatPr baseColWidth="10" defaultRowHeight="13" x14ac:dyDescent="0.15"/>
  <cols>
    <col min="3" max="4" width="11" style="130"/>
    <col min="6" max="6" width="11" style="130"/>
    <col min="7" max="7" width="20.796875" bestFit="1" customWidth="1"/>
  </cols>
  <sheetData>
    <row r="2" spans="2:9" ht="24" x14ac:dyDescent="0.15">
      <c r="B2" s="3" t="s">
        <v>2</v>
      </c>
      <c r="C2" s="131" t="s">
        <v>3</v>
      </c>
      <c r="D2" s="128" t="s">
        <v>4</v>
      </c>
      <c r="E2" s="6" t="s">
        <v>5</v>
      </c>
      <c r="F2" s="132" t="s">
        <v>173</v>
      </c>
      <c r="G2" s="134" t="s">
        <v>174</v>
      </c>
      <c r="H2" s="134" t="s">
        <v>176</v>
      </c>
    </row>
    <row r="3" spans="2:9" x14ac:dyDescent="0.15">
      <c r="B3" s="45" t="s">
        <v>6</v>
      </c>
      <c r="C3" s="46"/>
      <c r="D3" s="46"/>
      <c r="E3" s="47"/>
    </row>
    <row r="4" spans="2:9" x14ac:dyDescent="0.15">
      <c r="B4" s="8" t="s">
        <v>8</v>
      </c>
      <c r="C4" s="129">
        <v>11287.8</v>
      </c>
      <c r="D4" s="129">
        <v>13319.6</v>
      </c>
      <c r="E4" s="9">
        <v>16695</v>
      </c>
      <c r="F4" s="133">
        <f>1-D4/E4</f>
        <v>0.20218029350104816</v>
      </c>
      <c r="G4" s="126">
        <f>+F4-4%</f>
        <v>0.16218029350104815</v>
      </c>
      <c r="H4">
        <f>+E4*(1-G4)</f>
        <v>13987.400000000001</v>
      </c>
      <c r="I4">
        <f>+H4/1.18</f>
        <v>11853.728813559324</v>
      </c>
    </row>
    <row r="5" spans="2:9" x14ac:dyDescent="0.15">
      <c r="B5" s="8" t="s">
        <v>10</v>
      </c>
      <c r="C5" s="129">
        <v>9756</v>
      </c>
      <c r="D5" s="129">
        <v>11512.08</v>
      </c>
      <c r="E5" s="9">
        <v>14780</v>
      </c>
      <c r="F5" s="133">
        <f>1-D5/E5</f>
        <v>0.2211041948579161</v>
      </c>
      <c r="G5" s="126">
        <f t="shared" ref="G5:G51" si="0">+F5-4%</f>
        <v>0.1811041948579161</v>
      </c>
      <c r="H5">
        <f t="shared" ref="H5:H68" si="1">+E5*(1-G5)</f>
        <v>12103.28</v>
      </c>
      <c r="I5">
        <f t="shared" ref="I5:I68" si="2">+H5/1.18</f>
        <v>10257.016949152543</v>
      </c>
    </row>
    <row r="6" spans="2:9" x14ac:dyDescent="0.15">
      <c r="B6" s="8" t="s">
        <v>12</v>
      </c>
      <c r="C6" s="129">
        <v>5998.2</v>
      </c>
      <c r="D6" s="129">
        <v>7077.88</v>
      </c>
      <c r="E6" s="9">
        <v>9090</v>
      </c>
      <c r="F6" s="133">
        <f>1-D6/E6</f>
        <v>0.22135533553355335</v>
      </c>
      <c r="G6" s="126">
        <f t="shared" si="0"/>
        <v>0.18135533553355335</v>
      </c>
      <c r="H6">
        <f t="shared" si="1"/>
        <v>7441.4800000000005</v>
      </c>
      <c r="I6">
        <f t="shared" si="2"/>
        <v>6306.3389830508486</v>
      </c>
    </row>
    <row r="7" spans="2:9" x14ac:dyDescent="0.15">
      <c r="B7" s="8" t="s">
        <v>11</v>
      </c>
      <c r="C7" s="129">
        <v>4131</v>
      </c>
      <c r="D7" s="129">
        <v>4874.58</v>
      </c>
      <c r="E7" s="9">
        <v>6240</v>
      </c>
      <c r="F7" s="133">
        <f>1-D7/E7</f>
        <v>0.21881730769230767</v>
      </c>
      <c r="G7" s="126">
        <f>+F7-5%</f>
        <v>0.16881730769230768</v>
      </c>
      <c r="H7">
        <f t="shared" si="1"/>
        <v>5186.5800000000008</v>
      </c>
      <c r="I7">
        <f t="shared" si="2"/>
        <v>4395.4067796610179</v>
      </c>
    </row>
    <row r="8" spans="2:9" x14ac:dyDescent="0.15">
      <c r="B8" s="8" t="s">
        <v>13</v>
      </c>
      <c r="C8" s="129">
        <v>2173.6</v>
      </c>
      <c r="D8" s="129">
        <v>2564.85</v>
      </c>
      <c r="E8" s="9">
        <v>3280</v>
      </c>
      <c r="F8" s="133">
        <f>1-D8/E8</f>
        <v>0.21803353658536584</v>
      </c>
      <c r="G8" s="126">
        <f>+F8-7%</f>
        <v>0.14803353658536583</v>
      </c>
      <c r="H8">
        <f t="shared" si="1"/>
        <v>2794.4500000000003</v>
      </c>
      <c r="I8">
        <f t="shared" si="2"/>
        <v>2368.1779661016953</v>
      </c>
    </row>
    <row r="9" spans="2:9" x14ac:dyDescent="0.15">
      <c r="B9" s="8" t="s">
        <v>16</v>
      </c>
      <c r="C9" s="129">
        <v>1132.3</v>
      </c>
      <c r="D9" s="129">
        <v>1336.11</v>
      </c>
      <c r="E9" s="9">
        <v>1705</v>
      </c>
      <c r="F9" s="133">
        <f>1-D9/E9</f>
        <v>0.21635777126099709</v>
      </c>
      <c r="G9" s="126">
        <f>+F9-7%</f>
        <v>0.14635777126099708</v>
      </c>
      <c r="H9">
        <f t="shared" si="1"/>
        <v>1455.4599999999998</v>
      </c>
      <c r="I9">
        <f t="shared" si="2"/>
        <v>1233.4406779661017</v>
      </c>
    </row>
    <row r="10" spans="2:9" x14ac:dyDescent="0.15">
      <c r="B10" s="8" t="s">
        <v>18</v>
      </c>
      <c r="C10" s="129">
        <v>471.26</v>
      </c>
      <c r="D10" s="129">
        <v>556.09</v>
      </c>
      <c r="E10" s="9">
        <v>725</v>
      </c>
      <c r="F10" s="133">
        <f>1-D10/E10</f>
        <v>0.23297931034482755</v>
      </c>
      <c r="G10" s="126">
        <f>+F10-20%</f>
        <v>3.2979310344827539E-2</v>
      </c>
      <c r="H10">
        <f t="shared" si="1"/>
        <v>701.09</v>
      </c>
      <c r="I10">
        <f t="shared" si="2"/>
        <v>594.14406779661022</v>
      </c>
    </row>
    <row r="11" spans="2:9" x14ac:dyDescent="0.15">
      <c r="B11" s="8" t="s">
        <v>20</v>
      </c>
      <c r="C11" s="129">
        <v>246.69</v>
      </c>
      <c r="D11" s="129">
        <v>291.08999999999997</v>
      </c>
      <c r="E11" s="9">
        <v>395</v>
      </c>
      <c r="F11" s="133">
        <f>1-D11/E11</f>
        <v>0.26306329113924054</v>
      </c>
      <c r="G11" s="126">
        <f>+F11-20%</f>
        <v>6.3063291139240529E-2</v>
      </c>
      <c r="H11">
        <f t="shared" si="1"/>
        <v>370.09</v>
      </c>
      <c r="I11">
        <f t="shared" si="2"/>
        <v>313.63559322033899</v>
      </c>
    </row>
    <row r="12" spans="2:9" x14ac:dyDescent="0.15">
      <c r="B12" s="8" t="s">
        <v>21</v>
      </c>
      <c r="C12" s="129">
        <v>132.61000000000001</v>
      </c>
      <c r="D12" s="129">
        <v>156.47999999999999</v>
      </c>
      <c r="E12" s="9">
        <v>215</v>
      </c>
      <c r="F12" s="133">
        <f>1-D12/E12</f>
        <v>0.27218604651162792</v>
      </c>
      <c r="G12" s="126">
        <f>+F12-20%</f>
        <v>7.218604651162791E-2</v>
      </c>
      <c r="H12">
        <f t="shared" si="1"/>
        <v>199.48</v>
      </c>
      <c r="I12">
        <f t="shared" si="2"/>
        <v>169.05084745762713</v>
      </c>
    </row>
    <row r="13" spans="2:9" x14ac:dyDescent="0.15">
      <c r="B13" s="8" t="s">
        <v>22</v>
      </c>
      <c r="C13" s="129">
        <v>74.09</v>
      </c>
      <c r="D13" s="129">
        <v>87.43</v>
      </c>
      <c r="E13" s="9">
        <v>120</v>
      </c>
      <c r="F13" s="133">
        <f>1-D13/E13</f>
        <v>0.27141666666666664</v>
      </c>
      <c r="G13" s="126">
        <f>+F13-20%</f>
        <v>7.1416666666666628E-2</v>
      </c>
      <c r="H13">
        <f t="shared" si="1"/>
        <v>111.42999999999999</v>
      </c>
      <c r="I13">
        <f t="shared" si="2"/>
        <v>94.432203389830505</v>
      </c>
    </row>
    <row r="14" spans="2:9" x14ac:dyDescent="0.15">
      <c r="B14" s="8" t="s">
        <v>23</v>
      </c>
      <c r="C14" s="129">
        <v>39.53</v>
      </c>
      <c r="D14" s="129">
        <v>46.65</v>
      </c>
      <c r="E14" s="9">
        <v>70</v>
      </c>
      <c r="F14" s="133">
        <f>1-D14/E14</f>
        <v>0.33357142857142863</v>
      </c>
      <c r="G14" s="126">
        <f>+F14-20%</f>
        <v>0.13357142857142862</v>
      </c>
      <c r="H14">
        <f t="shared" si="1"/>
        <v>60.649999999999991</v>
      </c>
      <c r="I14">
        <f t="shared" si="2"/>
        <v>51.398305084745758</v>
      </c>
    </row>
    <row r="15" spans="2:9" x14ac:dyDescent="0.15">
      <c r="B15" s="8" t="s">
        <v>24</v>
      </c>
      <c r="C15" s="129">
        <v>20.74</v>
      </c>
      <c r="D15" s="129">
        <v>24.47</v>
      </c>
      <c r="E15" s="9">
        <v>40</v>
      </c>
      <c r="F15" s="133">
        <f>1-D15/E15</f>
        <v>0.38824999999999998</v>
      </c>
      <c r="G15" s="126">
        <f>+F15-20%</f>
        <v>0.18824999999999997</v>
      </c>
      <c r="H15">
        <f t="shared" si="1"/>
        <v>32.47</v>
      </c>
      <c r="I15">
        <f t="shared" si="2"/>
        <v>27.516949152542374</v>
      </c>
    </row>
    <row r="16" spans="2:9" x14ac:dyDescent="0.15">
      <c r="B16" s="45" t="s">
        <v>26</v>
      </c>
      <c r="C16" s="46"/>
      <c r="D16" s="46"/>
      <c r="E16" s="47"/>
    </row>
    <row r="17" spans="2:9" x14ac:dyDescent="0.15">
      <c r="B17" s="8" t="s">
        <v>10</v>
      </c>
      <c r="C17" s="129">
        <v>11377.5</v>
      </c>
      <c r="D17" s="129">
        <v>13425.45</v>
      </c>
      <c r="E17" s="9">
        <v>16580</v>
      </c>
      <c r="F17" s="133">
        <f t="shared" ref="F17:F24" si="3">1-D17/E17</f>
        <v>0.19026236429433052</v>
      </c>
      <c r="G17" s="126">
        <f t="shared" si="0"/>
        <v>0.15026236429433051</v>
      </c>
      <c r="H17">
        <f t="shared" si="1"/>
        <v>14088.65</v>
      </c>
      <c r="I17">
        <f t="shared" si="2"/>
        <v>11939.533898305084</v>
      </c>
    </row>
    <row r="18" spans="2:9" x14ac:dyDescent="0.15">
      <c r="B18" s="8" t="s">
        <v>12</v>
      </c>
      <c r="C18" s="129">
        <v>6976.8</v>
      </c>
      <c r="D18" s="129">
        <v>8232.6200000000008</v>
      </c>
      <c r="E18" s="9">
        <v>10175</v>
      </c>
      <c r="F18" s="133">
        <f t="shared" si="3"/>
        <v>0.19089729729729721</v>
      </c>
      <c r="G18" s="126">
        <f t="shared" si="0"/>
        <v>0.1508972972972972</v>
      </c>
      <c r="H18">
        <f t="shared" si="1"/>
        <v>8639.6200000000008</v>
      </c>
      <c r="I18">
        <f t="shared" si="2"/>
        <v>7321.7118644067805</v>
      </c>
    </row>
    <row r="19" spans="2:9" x14ac:dyDescent="0.15">
      <c r="B19" s="8" t="s">
        <v>11</v>
      </c>
      <c r="C19" s="129">
        <v>4726.2</v>
      </c>
      <c r="D19" s="129">
        <v>5576.92</v>
      </c>
      <c r="E19" s="9">
        <v>6925</v>
      </c>
      <c r="F19" s="133">
        <f t="shared" si="3"/>
        <v>0.19466859205776177</v>
      </c>
      <c r="G19" s="126">
        <f t="shared" si="0"/>
        <v>0.15466859205776176</v>
      </c>
      <c r="H19">
        <f t="shared" si="1"/>
        <v>5853.92</v>
      </c>
      <c r="I19">
        <f t="shared" si="2"/>
        <v>4960.9491525423728</v>
      </c>
    </row>
    <row r="20" spans="2:9" x14ac:dyDescent="0.15">
      <c r="B20" s="8" t="s">
        <v>13</v>
      </c>
      <c r="C20" s="129">
        <v>2467</v>
      </c>
      <c r="D20" s="129">
        <v>2911.06</v>
      </c>
      <c r="E20" s="9">
        <v>3615</v>
      </c>
      <c r="F20" s="133">
        <f t="shared" si="3"/>
        <v>0.19472752420470263</v>
      </c>
      <c r="G20" s="126">
        <f t="shared" si="0"/>
        <v>0.15472752420470262</v>
      </c>
      <c r="H20">
        <f t="shared" si="1"/>
        <v>3055.6600000000003</v>
      </c>
      <c r="I20">
        <f t="shared" si="2"/>
        <v>2589.5423728813562</v>
      </c>
    </row>
    <row r="21" spans="2:9" x14ac:dyDescent="0.15">
      <c r="B21" s="8" t="s">
        <v>16</v>
      </c>
      <c r="C21" s="129">
        <v>1282.95</v>
      </c>
      <c r="D21" s="129">
        <v>1513.88</v>
      </c>
      <c r="E21" s="9">
        <v>1890</v>
      </c>
      <c r="F21" s="133">
        <f t="shared" si="3"/>
        <v>0.19900529100529096</v>
      </c>
      <c r="G21" s="126">
        <f t="shared" si="0"/>
        <v>0.15900529100529096</v>
      </c>
      <c r="H21">
        <f t="shared" si="1"/>
        <v>1589.4800000000002</v>
      </c>
      <c r="I21">
        <f t="shared" si="2"/>
        <v>1347.0169491525426</v>
      </c>
    </row>
    <row r="22" spans="2:9" x14ac:dyDescent="0.15">
      <c r="B22" s="8" t="s">
        <v>18</v>
      </c>
      <c r="C22" s="129">
        <v>533.36</v>
      </c>
      <c r="D22" s="129">
        <v>629.36</v>
      </c>
      <c r="E22" s="9">
        <v>795</v>
      </c>
      <c r="F22" s="133">
        <f t="shared" si="3"/>
        <v>0.20835220125786158</v>
      </c>
      <c r="G22" s="126">
        <f t="shared" si="0"/>
        <v>0.16835220125786157</v>
      </c>
      <c r="H22">
        <f t="shared" si="1"/>
        <v>661.16000000000008</v>
      </c>
      <c r="I22">
        <f t="shared" si="2"/>
        <v>560.30508474576277</v>
      </c>
    </row>
    <row r="23" spans="2:9" x14ac:dyDescent="0.15">
      <c r="B23" s="8" t="s">
        <v>29</v>
      </c>
      <c r="C23" s="129">
        <v>276.81</v>
      </c>
      <c r="D23" s="129">
        <v>326.64</v>
      </c>
      <c r="E23" s="9">
        <v>435</v>
      </c>
      <c r="F23" s="133">
        <f t="shared" si="3"/>
        <v>0.24910344827586206</v>
      </c>
      <c r="G23" s="126">
        <f t="shared" si="0"/>
        <v>0.20910344827586205</v>
      </c>
      <c r="H23">
        <f t="shared" si="1"/>
        <v>344.04</v>
      </c>
      <c r="I23">
        <f t="shared" si="2"/>
        <v>291.55932203389835</v>
      </c>
    </row>
    <row r="24" spans="2:9" x14ac:dyDescent="0.15">
      <c r="B24" s="8" t="s">
        <v>30</v>
      </c>
      <c r="C24" s="129">
        <v>148.59</v>
      </c>
      <c r="D24" s="129">
        <v>175.34</v>
      </c>
      <c r="E24" s="9">
        <v>235</v>
      </c>
      <c r="F24" s="133">
        <f t="shared" si="3"/>
        <v>0.25387234042553186</v>
      </c>
      <c r="G24" s="126">
        <f t="shared" si="0"/>
        <v>0.21387234042553185</v>
      </c>
      <c r="H24">
        <f t="shared" si="1"/>
        <v>184.74</v>
      </c>
      <c r="I24">
        <f t="shared" si="2"/>
        <v>156.55932203389833</v>
      </c>
    </row>
    <row r="25" spans="2:9" x14ac:dyDescent="0.15">
      <c r="B25" s="45" t="s">
        <v>31</v>
      </c>
      <c r="C25" s="46"/>
      <c r="D25" s="46"/>
      <c r="E25" s="47"/>
    </row>
    <row r="26" spans="2:9" x14ac:dyDescent="0.15">
      <c r="B26" s="8" t="s">
        <v>33</v>
      </c>
      <c r="C26" s="129">
        <v>14883.6</v>
      </c>
      <c r="D26" s="129">
        <v>17562.650000000001</v>
      </c>
      <c r="E26" s="9">
        <v>21550</v>
      </c>
      <c r="F26" s="133">
        <f t="shared" ref="F26:F34" si="4">1-D26/E26</f>
        <v>0.18502784222737811</v>
      </c>
      <c r="G26" s="126">
        <f t="shared" si="0"/>
        <v>0.14502784222737811</v>
      </c>
      <c r="H26">
        <f t="shared" si="1"/>
        <v>18424.650000000001</v>
      </c>
      <c r="I26">
        <f t="shared" si="2"/>
        <v>15614.110169491527</v>
      </c>
    </row>
    <row r="27" spans="2:9" x14ac:dyDescent="0.15">
      <c r="B27" s="8" t="s">
        <v>10</v>
      </c>
      <c r="C27" s="129">
        <v>12553.5</v>
      </c>
      <c r="D27" s="129">
        <v>14813.13</v>
      </c>
      <c r="E27" s="9">
        <v>18265</v>
      </c>
      <c r="F27" s="133">
        <f t="shared" si="4"/>
        <v>0.1889882288529976</v>
      </c>
      <c r="G27" s="126">
        <f t="shared" si="0"/>
        <v>0.14898822885299759</v>
      </c>
      <c r="H27">
        <f t="shared" si="1"/>
        <v>15543.73</v>
      </c>
      <c r="I27">
        <f t="shared" si="2"/>
        <v>13172.652542372882</v>
      </c>
    </row>
    <row r="28" spans="2:9" x14ac:dyDescent="0.15">
      <c r="B28" s="8" t="s">
        <v>12</v>
      </c>
      <c r="C28" s="129">
        <v>7697.4</v>
      </c>
      <c r="D28" s="129">
        <v>9082.93</v>
      </c>
      <c r="E28" s="9">
        <v>11190</v>
      </c>
      <c r="F28" s="133">
        <f t="shared" si="4"/>
        <v>0.18829937444146561</v>
      </c>
      <c r="G28" s="126">
        <f t="shared" si="0"/>
        <v>0.1482993744414656</v>
      </c>
      <c r="H28">
        <f t="shared" si="1"/>
        <v>9530.5300000000007</v>
      </c>
      <c r="I28">
        <f t="shared" si="2"/>
        <v>8076.720338983052</v>
      </c>
    </row>
    <row r="29" spans="2:9" x14ac:dyDescent="0.15">
      <c r="B29" s="8" t="s">
        <v>11</v>
      </c>
      <c r="C29" s="129">
        <v>5222.3999999999996</v>
      </c>
      <c r="D29" s="129">
        <v>6162.43</v>
      </c>
      <c r="E29" s="9">
        <v>7615</v>
      </c>
      <c r="F29" s="133">
        <f t="shared" si="4"/>
        <v>0.19075114904793167</v>
      </c>
      <c r="G29" s="126">
        <f t="shared" si="0"/>
        <v>0.15075114904793166</v>
      </c>
      <c r="H29">
        <f t="shared" si="1"/>
        <v>6467.0300000000007</v>
      </c>
      <c r="I29">
        <f t="shared" si="2"/>
        <v>5480.533898305086</v>
      </c>
    </row>
    <row r="30" spans="2:9" x14ac:dyDescent="0.15">
      <c r="B30" s="8" t="s">
        <v>13</v>
      </c>
      <c r="C30" s="129">
        <v>2716.3</v>
      </c>
      <c r="D30" s="129">
        <v>3205.23</v>
      </c>
      <c r="E30" s="9">
        <v>3950</v>
      </c>
      <c r="F30" s="133">
        <f t="shared" si="4"/>
        <v>0.18854936708860759</v>
      </c>
      <c r="G30" s="126">
        <f t="shared" si="0"/>
        <v>0.14854936708860758</v>
      </c>
      <c r="H30">
        <f t="shared" si="1"/>
        <v>3363.23</v>
      </c>
      <c r="I30">
        <f t="shared" si="2"/>
        <v>2850.1949152542375</v>
      </c>
    </row>
    <row r="31" spans="2:9" x14ac:dyDescent="0.15">
      <c r="B31" s="8" t="s">
        <v>14</v>
      </c>
      <c r="C31" s="129">
        <v>1403.95</v>
      </c>
      <c r="D31" s="129">
        <v>1656.66</v>
      </c>
      <c r="E31" s="9">
        <v>2060</v>
      </c>
      <c r="F31" s="133">
        <f t="shared" si="4"/>
        <v>0.19579611650485429</v>
      </c>
      <c r="G31" s="126">
        <f t="shared" si="0"/>
        <v>0.15579611650485428</v>
      </c>
      <c r="H31">
        <f t="shared" si="1"/>
        <v>1739.0600000000002</v>
      </c>
      <c r="I31">
        <f t="shared" si="2"/>
        <v>1473.7796610169494</v>
      </c>
    </row>
    <row r="32" spans="2:9" x14ac:dyDescent="0.15">
      <c r="B32" s="8" t="s">
        <v>15</v>
      </c>
      <c r="C32" s="129">
        <v>588.02</v>
      </c>
      <c r="D32" s="129">
        <v>693.86</v>
      </c>
      <c r="E32" s="9">
        <v>865</v>
      </c>
      <c r="F32" s="133">
        <f t="shared" si="4"/>
        <v>0.19784971098265891</v>
      </c>
      <c r="G32" s="126">
        <f t="shared" si="0"/>
        <v>0.1578497109826589</v>
      </c>
      <c r="H32">
        <f t="shared" si="1"/>
        <v>728.46</v>
      </c>
      <c r="I32">
        <f t="shared" si="2"/>
        <v>617.33898305084756</v>
      </c>
    </row>
    <row r="33" spans="2:9" x14ac:dyDescent="0.15">
      <c r="B33" s="8" t="s">
        <v>17</v>
      </c>
      <c r="C33" s="129">
        <v>306.08</v>
      </c>
      <c r="D33" s="129">
        <v>361.17</v>
      </c>
      <c r="E33" s="9">
        <v>465</v>
      </c>
      <c r="F33" s="133">
        <f t="shared" si="4"/>
        <v>0.22329032258064507</v>
      </c>
      <c r="G33" s="126">
        <f t="shared" si="0"/>
        <v>0.18329032258064507</v>
      </c>
      <c r="H33">
        <f t="shared" si="1"/>
        <v>379.77000000000004</v>
      </c>
      <c r="I33">
        <f t="shared" si="2"/>
        <v>321.8389830508475</v>
      </c>
    </row>
    <row r="34" spans="2:9" x14ac:dyDescent="0.15">
      <c r="B34" s="8" t="s">
        <v>21</v>
      </c>
      <c r="C34" s="129">
        <v>163.63</v>
      </c>
      <c r="D34" s="129">
        <v>193.08</v>
      </c>
      <c r="E34" s="9">
        <v>255</v>
      </c>
      <c r="F34" s="133">
        <f t="shared" si="4"/>
        <v>0.24282352941176466</v>
      </c>
      <c r="G34" s="126">
        <f t="shared" si="0"/>
        <v>0.20282352941176465</v>
      </c>
      <c r="H34">
        <f t="shared" si="1"/>
        <v>203.28000000000003</v>
      </c>
      <c r="I34">
        <f t="shared" si="2"/>
        <v>172.27118644067801</v>
      </c>
    </row>
    <row r="35" spans="2:9" x14ac:dyDescent="0.15">
      <c r="B35" s="45" t="s">
        <v>39</v>
      </c>
      <c r="C35" s="46"/>
      <c r="D35" s="46"/>
      <c r="E35" s="47"/>
    </row>
    <row r="36" spans="2:9" x14ac:dyDescent="0.15">
      <c r="B36" s="8" t="s">
        <v>33</v>
      </c>
      <c r="C36" s="129">
        <v>17454</v>
      </c>
      <c r="D36" s="129">
        <v>20595.72</v>
      </c>
      <c r="E36" s="9">
        <v>25350</v>
      </c>
      <c r="F36" s="133">
        <f t="shared" ref="F36:F44" si="5">1-D36/E36</f>
        <v>0.18754556213017748</v>
      </c>
      <c r="G36" s="126">
        <f t="shared" si="0"/>
        <v>0.14754556213017747</v>
      </c>
      <c r="H36">
        <f t="shared" si="1"/>
        <v>21609.72</v>
      </c>
      <c r="I36">
        <f t="shared" si="2"/>
        <v>18313.322033898308</v>
      </c>
    </row>
    <row r="37" spans="2:9" x14ac:dyDescent="0.15">
      <c r="B37" s="8" t="s">
        <v>10</v>
      </c>
      <c r="C37" s="129">
        <v>14545</v>
      </c>
      <c r="D37" s="129">
        <v>17163.099999999999</v>
      </c>
      <c r="E37" s="9">
        <v>21130</v>
      </c>
      <c r="F37" s="133">
        <f t="shared" si="5"/>
        <v>0.18773781353525798</v>
      </c>
      <c r="G37" s="126">
        <f t="shared" si="0"/>
        <v>0.14773781353525797</v>
      </c>
      <c r="H37">
        <f t="shared" si="1"/>
        <v>18008.3</v>
      </c>
      <c r="I37">
        <f t="shared" si="2"/>
        <v>15261.271186440677</v>
      </c>
    </row>
    <row r="38" spans="2:9" x14ac:dyDescent="0.15">
      <c r="B38" s="8" t="s">
        <v>12</v>
      </c>
      <c r="C38" s="129">
        <v>8817</v>
      </c>
      <c r="D38" s="129">
        <v>10404.06</v>
      </c>
      <c r="E38" s="9">
        <v>12810</v>
      </c>
      <c r="F38" s="133">
        <f t="shared" si="5"/>
        <v>0.18781733021077285</v>
      </c>
      <c r="G38" s="126">
        <f t="shared" si="0"/>
        <v>0.14781733021077284</v>
      </c>
      <c r="H38">
        <f t="shared" si="1"/>
        <v>10916.460000000001</v>
      </c>
      <c r="I38">
        <f t="shared" si="2"/>
        <v>9251.237288135595</v>
      </c>
    </row>
    <row r="39" spans="2:9" x14ac:dyDescent="0.15">
      <c r="B39" s="8" t="s">
        <v>11</v>
      </c>
      <c r="C39" s="129">
        <v>5988</v>
      </c>
      <c r="D39" s="129">
        <v>7065.84</v>
      </c>
      <c r="E39" s="9">
        <v>8690</v>
      </c>
      <c r="F39" s="133">
        <f t="shared" si="5"/>
        <v>0.18689988492520138</v>
      </c>
      <c r="G39" s="126">
        <f t="shared" si="0"/>
        <v>0.14689988492520137</v>
      </c>
      <c r="H39">
        <f t="shared" si="1"/>
        <v>7413.4400000000005</v>
      </c>
      <c r="I39">
        <f t="shared" si="2"/>
        <v>6282.5762711864418</v>
      </c>
    </row>
    <row r="40" spans="2:9" x14ac:dyDescent="0.15">
      <c r="B40" s="8" t="s">
        <v>13</v>
      </c>
      <c r="C40" s="129">
        <v>3094</v>
      </c>
      <c r="D40" s="129">
        <v>3650.92</v>
      </c>
      <c r="E40" s="9">
        <v>4495</v>
      </c>
      <c r="F40" s="133">
        <f t="shared" si="5"/>
        <v>0.18778197997775303</v>
      </c>
      <c r="G40" s="126">
        <f t="shared" si="0"/>
        <v>0.14778197997775303</v>
      </c>
      <c r="H40">
        <f t="shared" si="1"/>
        <v>3830.7200000000003</v>
      </c>
      <c r="I40">
        <f t="shared" si="2"/>
        <v>3246.3728813559328</v>
      </c>
    </row>
    <row r="41" spans="2:9" x14ac:dyDescent="0.15">
      <c r="B41" s="8" t="s">
        <v>14</v>
      </c>
      <c r="C41" s="129">
        <v>1609.5</v>
      </c>
      <c r="D41" s="129">
        <v>1899.21</v>
      </c>
      <c r="E41" s="9">
        <v>2365</v>
      </c>
      <c r="F41" s="133">
        <f t="shared" si="5"/>
        <v>0.19695137420718811</v>
      </c>
      <c r="G41" s="126">
        <f t="shared" si="0"/>
        <v>0.1569513742071881</v>
      </c>
      <c r="H41">
        <f t="shared" si="1"/>
        <v>1993.8100000000002</v>
      </c>
      <c r="I41">
        <f t="shared" si="2"/>
        <v>1689.6694915254241</v>
      </c>
    </row>
    <row r="42" spans="2:9" x14ac:dyDescent="0.15">
      <c r="B42" s="8" t="s">
        <v>15</v>
      </c>
      <c r="C42" s="129">
        <v>668.8</v>
      </c>
      <c r="D42" s="129">
        <v>789.18</v>
      </c>
      <c r="E42" s="9">
        <v>1010</v>
      </c>
      <c r="F42" s="133">
        <f t="shared" si="5"/>
        <v>0.21863366336633672</v>
      </c>
      <c r="G42" s="126">
        <f t="shared" si="0"/>
        <v>0.17863366336633671</v>
      </c>
      <c r="H42">
        <f t="shared" si="1"/>
        <v>829.57999999999993</v>
      </c>
      <c r="I42">
        <f t="shared" si="2"/>
        <v>703.03389830508468</v>
      </c>
    </row>
    <row r="43" spans="2:9" x14ac:dyDescent="0.15">
      <c r="B43" s="8" t="s">
        <v>17</v>
      </c>
      <c r="C43" s="129">
        <v>347.9</v>
      </c>
      <c r="D43" s="129">
        <v>410.52</v>
      </c>
      <c r="E43" s="9">
        <v>525</v>
      </c>
      <c r="F43" s="133">
        <f t="shared" si="5"/>
        <v>0.21805714285714284</v>
      </c>
      <c r="G43" s="126">
        <f t="shared" si="0"/>
        <v>0.17805714285714283</v>
      </c>
      <c r="H43">
        <f t="shared" si="1"/>
        <v>431.52000000000004</v>
      </c>
      <c r="I43">
        <f t="shared" si="2"/>
        <v>365.69491525423734</v>
      </c>
    </row>
    <row r="44" spans="2:9" x14ac:dyDescent="0.15">
      <c r="B44" s="8" t="s">
        <v>21</v>
      </c>
      <c r="C44" s="129">
        <v>188.2</v>
      </c>
      <c r="D44" s="129">
        <v>222.08</v>
      </c>
      <c r="E44" s="9">
        <v>295</v>
      </c>
      <c r="F44" s="133">
        <f t="shared" si="5"/>
        <v>0.24718644067796602</v>
      </c>
      <c r="G44" s="126">
        <f t="shared" si="0"/>
        <v>0.20718644067796602</v>
      </c>
      <c r="H44">
        <f t="shared" si="1"/>
        <v>233.88000000000002</v>
      </c>
      <c r="I44">
        <f t="shared" si="2"/>
        <v>198.20338983050851</v>
      </c>
    </row>
    <row r="45" spans="2:9" x14ac:dyDescent="0.15">
      <c r="B45" s="45" t="s">
        <v>50</v>
      </c>
      <c r="C45" s="46"/>
      <c r="D45" s="46"/>
      <c r="E45" s="47"/>
    </row>
    <row r="46" spans="2:9" x14ac:dyDescent="0.15">
      <c r="B46" s="8" t="s">
        <v>52</v>
      </c>
      <c r="C46" s="129">
        <v>2130.5</v>
      </c>
      <c r="D46" s="129">
        <v>2513.9899999999998</v>
      </c>
      <c r="E46" s="9">
        <v>3095</v>
      </c>
      <c r="F46" s="133">
        <f t="shared" ref="F46:F51" si="6">1-D46/E46</f>
        <v>0.18772536348949931</v>
      </c>
      <c r="G46" s="126">
        <f t="shared" si="0"/>
        <v>0.1477253634894993</v>
      </c>
      <c r="H46">
        <f t="shared" si="1"/>
        <v>2637.79</v>
      </c>
      <c r="I46">
        <f t="shared" si="2"/>
        <v>2235.4152542372881</v>
      </c>
    </row>
    <row r="47" spans="2:9" x14ac:dyDescent="0.15">
      <c r="B47" s="8" t="s">
        <v>54</v>
      </c>
      <c r="C47" s="129">
        <v>880.2</v>
      </c>
      <c r="D47" s="129">
        <v>1038.6400000000001</v>
      </c>
      <c r="E47" s="9">
        <v>1305</v>
      </c>
      <c r="F47" s="133">
        <f t="shared" si="6"/>
        <v>0.20410727969348652</v>
      </c>
      <c r="G47" s="126">
        <f t="shared" si="0"/>
        <v>0.16410727969348651</v>
      </c>
      <c r="H47">
        <f t="shared" si="1"/>
        <v>1090.8400000000001</v>
      </c>
      <c r="I47">
        <f t="shared" si="2"/>
        <v>924.44067796610182</v>
      </c>
    </row>
    <row r="48" spans="2:9" x14ac:dyDescent="0.15">
      <c r="B48" s="8" t="s">
        <v>56</v>
      </c>
      <c r="C48" s="129">
        <v>453.6</v>
      </c>
      <c r="D48" s="129">
        <v>535.25</v>
      </c>
      <c r="E48" s="9">
        <v>680</v>
      </c>
      <c r="F48" s="133">
        <f t="shared" si="6"/>
        <v>0.21286764705882355</v>
      </c>
      <c r="G48" s="126">
        <f t="shared" si="0"/>
        <v>0.17286764705882354</v>
      </c>
      <c r="H48">
        <f t="shared" si="1"/>
        <v>562.45000000000005</v>
      </c>
      <c r="I48">
        <f t="shared" si="2"/>
        <v>476.65254237288144</v>
      </c>
    </row>
    <row r="49" spans="2:9" x14ac:dyDescent="0.15">
      <c r="B49" s="8" t="s">
        <v>58</v>
      </c>
      <c r="C49" s="129">
        <v>233.3</v>
      </c>
      <c r="D49" s="129">
        <v>275.29000000000002</v>
      </c>
      <c r="E49" s="9">
        <v>365</v>
      </c>
      <c r="F49" s="133">
        <f t="shared" si="6"/>
        <v>0.24578082191780815</v>
      </c>
      <c r="G49" s="126">
        <f t="shared" si="0"/>
        <v>0.20578082191780814</v>
      </c>
      <c r="H49">
        <f t="shared" si="1"/>
        <v>289.89000000000004</v>
      </c>
      <c r="I49">
        <f t="shared" si="2"/>
        <v>245.66949152542378</v>
      </c>
    </row>
    <row r="50" spans="2:9" x14ac:dyDescent="0.15">
      <c r="B50" s="8" t="s">
        <v>60</v>
      </c>
      <c r="C50" s="129">
        <v>108.8</v>
      </c>
      <c r="D50" s="129">
        <v>128.38</v>
      </c>
      <c r="E50" s="9">
        <v>185</v>
      </c>
      <c r="F50" s="133">
        <f t="shared" si="6"/>
        <v>0.30605405405405406</v>
      </c>
      <c r="G50" s="126">
        <f t="shared" si="0"/>
        <v>0.26605405405405408</v>
      </c>
      <c r="H50">
        <f t="shared" si="1"/>
        <v>135.77999999999997</v>
      </c>
      <c r="I50">
        <f t="shared" si="2"/>
        <v>115.06779661016948</v>
      </c>
    </row>
    <row r="51" spans="2:9" x14ac:dyDescent="0.15">
      <c r="B51" s="10" t="s">
        <v>62</v>
      </c>
      <c r="C51" s="129">
        <v>59.8</v>
      </c>
      <c r="D51" s="129">
        <v>70.56</v>
      </c>
      <c r="E51" s="9">
        <v>105</v>
      </c>
      <c r="F51" s="133">
        <f t="shared" si="6"/>
        <v>0.32799999999999996</v>
      </c>
      <c r="G51" s="126">
        <f t="shared" si="0"/>
        <v>0.28799999999999998</v>
      </c>
      <c r="H51">
        <f t="shared" si="1"/>
        <v>74.759999999999991</v>
      </c>
      <c r="I51">
        <f t="shared" si="2"/>
        <v>63.355932203389827</v>
      </c>
    </row>
    <row r="52" spans="2:9" x14ac:dyDescent="0.15">
      <c r="B52" s="45" t="s">
        <v>64</v>
      </c>
      <c r="C52" s="46"/>
      <c r="D52" s="46"/>
      <c r="E52" s="47"/>
    </row>
    <row r="53" spans="2:9" x14ac:dyDescent="0.15">
      <c r="B53" s="8" t="s">
        <v>66</v>
      </c>
      <c r="C53" s="129">
        <v>8667.5</v>
      </c>
      <c r="D53" s="129">
        <v>10227.65</v>
      </c>
      <c r="E53" s="9">
        <v>12270</v>
      </c>
      <c r="F53" s="133">
        <f t="shared" ref="F53:F59" si="7">1-D53/E53</f>
        <v>0.16645069274653634</v>
      </c>
      <c r="G53" s="126">
        <f>+F53-5%</f>
        <v>0.11645069274653634</v>
      </c>
      <c r="H53">
        <f t="shared" si="1"/>
        <v>10841.15</v>
      </c>
      <c r="I53">
        <f t="shared" si="2"/>
        <v>9187.4152542372885</v>
      </c>
    </row>
    <row r="54" spans="2:9" x14ac:dyDescent="0.15">
      <c r="B54" s="8" t="s">
        <v>55</v>
      </c>
      <c r="C54" s="129">
        <v>1799.1</v>
      </c>
      <c r="D54" s="129">
        <v>2122.94</v>
      </c>
      <c r="E54" s="9">
        <v>2560</v>
      </c>
      <c r="F54" s="133">
        <f t="shared" si="7"/>
        <v>0.17072656249999996</v>
      </c>
      <c r="G54" s="126">
        <f t="shared" ref="G54:G56" si="8">+F54-5%</f>
        <v>0.12072656249999995</v>
      </c>
      <c r="H54">
        <f t="shared" si="1"/>
        <v>2250.94</v>
      </c>
      <c r="I54">
        <f t="shared" si="2"/>
        <v>1907.5762711864409</v>
      </c>
    </row>
    <row r="55" spans="2:9" x14ac:dyDescent="0.15">
      <c r="B55" s="8" t="s">
        <v>69</v>
      </c>
      <c r="C55" s="129">
        <v>749.4</v>
      </c>
      <c r="D55" s="129">
        <v>884.29</v>
      </c>
      <c r="E55" s="9">
        <v>1070</v>
      </c>
      <c r="F55" s="133">
        <f t="shared" si="7"/>
        <v>0.17356074766355145</v>
      </c>
      <c r="G55" s="126">
        <f t="shared" si="8"/>
        <v>0.12356074766355145</v>
      </c>
      <c r="H55">
        <f t="shared" si="1"/>
        <v>937.79</v>
      </c>
      <c r="I55">
        <f t="shared" si="2"/>
        <v>794.73728813559319</v>
      </c>
    </row>
    <row r="56" spans="2:9" x14ac:dyDescent="0.15">
      <c r="B56" s="8" t="s">
        <v>59</v>
      </c>
      <c r="C56" s="129">
        <v>384.1</v>
      </c>
      <c r="D56" s="129">
        <v>453.24</v>
      </c>
      <c r="E56" s="9">
        <v>585</v>
      </c>
      <c r="F56" s="133">
        <f t="shared" si="7"/>
        <v>0.22523076923076923</v>
      </c>
      <c r="G56" s="126">
        <f t="shared" si="8"/>
        <v>0.17523076923076925</v>
      </c>
      <c r="H56">
        <f t="shared" si="1"/>
        <v>482.48999999999995</v>
      </c>
      <c r="I56">
        <f t="shared" si="2"/>
        <v>408.88983050847457</v>
      </c>
    </row>
    <row r="57" spans="2:9" x14ac:dyDescent="0.15">
      <c r="B57" s="8" t="s">
        <v>61</v>
      </c>
      <c r="C57" s="129">
        <v>206.9</v>
      </c>
      <c r="D57" s="129">
        <v>244.14</v>
      </c>
      <c r="E57" s="9">
        <v>315</v>
      </c>
      <c r="F57" s="133">
        <f t="shared" si="7"/>
        <v>0.22495238095238101</v>
      </c>
      <c r="G57" s="126">
        <f>+F57-15%</f>
        <v>7.495238095238102E-2</v>
      </c>
      <c r="H57">
        <f t="shared" si="1"/>
        <v>291.39</v>
      </c>
      <c r="I57">
        <f t="shared" si="2"/>
        <v>246.9406779661017</v>
      </c>
    </row>
    <row r="58" spans="2:9" x14ac:dyDescent="0.15">
      <c r="B58" s="8" t="s">
        <v>72</v>
      </c>
      <c r="C58" s="129">
        <v>95</v>
      </c>
      <c r="D58" s="129">
        <v>112.1</v>
      </c>
      <c r="E58" s="9">
        <v>165</v>
      </c>
      <c r="F58" s="133">
        <f t="shared" si="7"/>
        <v>0.32060606060606067</v>
      </c>
      <c r="G58" s="126">
        <f>+F58-20%</f>
        <v>0.12060606060606066</v>
      </c>
      <c r="H58">
        <f t="shared" si="1"/>
        <v>145.1</v>
      </c>
      <c r="I58">
        <f t="shared" si="2"/>
        <v>122.96610169491525</v>
      </c>
    </row>
    <row r="59" spans="2:9" x14ac:dyDescent="0.15">
      <c r="B59" s="8" t="s">
        <v>65</v>
      </c>
      <c r="C59" s="129">
        <v>53.3</v>
      </c>
      <c r="D59" s="129">
        <v>62.89</v>
      </c>
      <c r="E59" s="9">
        <v>100</v>
      </c>
      <c r="F59" s="133">
        <f t="shared" si="7"/>
        <v>0.37109999999999999</v>
      </c>
      <c r="G59" s="126">
        <f>+F59-20%</f>
        <v>0.17109999999999997</v>
      </c>
      <c r="H59">
        <f t="shared" si="1"/>
        <v>82.89</v>
      </c>
      <c r="I59">
        <f t="shared" si="2"/>
        <v>70.245762711864415</v>
      </c>
    </row>
    <row r="60" spans="2:9" x14ac:dyDescent="0.15">
      <c r="B60" s="64" t="s">
        <v>73</v>
      </c>
      <c r="C60" s="64"/>
      <c r="D60" s="64"/>
      <c r="E60" s="65"/>
    </row>
    <row r="61" spans="2:9" x14ac:dyDescent="0.15">
      <c r="B61" s="8" t="s">
        <v>75</v>
      </c>
      <c r="C61" s="129">
        <v>6650</v>
      </c>
      <c r="D61" s="129">
        <v>7847</v>
      </c>
      <c r="E61" s="9">
        <v>9625</v>
      </c>
      <c r="F61" s="133">
        <f t="shared" ref="F61:F65" si="9">1-D61/E61</f>
        <v>0.18472727272727274</v>
      </c>
      <c r="G61" s="126">
        <f>+F61-5%</f>
        <v>0.13472727272727275</v>
      </c>
      <c r="H61">
        <f t="shared" si="1"/>
        <v>8328.25</v>
      </c>
      <c r="I61">
        <f t="shared" si="2"/>
        <v>7057.8389830508477</v>
      </c>
    </row>
    <row r="62" spans="2:9" x14ac:dyDescent="0.15">
      <c r="B62" s="8" t="s">
        <v>13</v>
      </c>
      <c r="C62" s="129">
        <v>3351</v>
      </c>
      <c r="D62" s="129">
        <v>3954.18</v>
      </c>
      <c r="E62" s="9">
        <v>4890</v>
      </c>
      <c r="F62" s="133">
        <f t="shared" si="9"/>
        <v>0.19137423312883439</v>
      </c>
      <c r="G62" s="126">
        <f t="shared" ref="G62:G65" si="10">+F62-5%</f>
        <v>0.1413742331288344</v>
      </c>
      <c r="H62">
        <f t="shared" si="1"/>
        <v>4198.68</v>
      </c>
      <c r="I62">
        <f t="shared" si="2"/>
        <v>3558.203389830509</v>
      </c>
    </row>
    <row r="63" spans="2:9" x14ac:dyDescent="0.15">
      <c r="B63" s="8" t="s">
        <v>16</v>
      </c>
      <c r="C63" s="129">
        <v>1745</v>
      </c>
      <c r="D63" s="129">
        <v>2059.1</v>
      </c>
      <c r="E63" s="9">
        <v>2600</v>
      </c>
      <c r="F63" s="133">
        <f t="shared" si="9"/>
        <v>0.20803846153846162</v>
      </c>
      <c r="G63" s="126">
        <f t="shared" si="10"/>
        <v>0.15803846153846163</v>
      </c>
      <c r="H63">
        <f t="shared" si="1"/>
        <v>2189.1</v>
      </c>
      <c r="I63">
        <f t="shared" si="2"/>
        <v>1855.1694915254238</v>
      </c>
    </row>
    <row r="64" spans="2:9" x14ac:dyDescent="0.15">
      <c r="B64" s="8" t="s">
        <v>29</v>
      </c>
      <c r="C64" s="129">
        <v>362</v>
      </c>
      <c r="D64" s="129">
        <v>427.16</v>
      </c>
      <c r="E64" s="9">
        <v>565</v>
      </c>
      <c r="F64" s="133">
        <f t="shared" si="9"/>
        <v>0.24396460176991142</v>
      </c>
      <c r="G64" s="126">
        <f t="shared" si="10"/>
        <v>0.19396460176991143</v>
      </c>
      <c r="H64">
        <f t="shared" si="1"/>
        <v>455.41</v>
      </c>
      <c r="I64">
        <f t="shared" si="2"/>
        <v>385.94067796610176</v>
      </c>
    </row>
    <row r="65" spans="2:9" x14ac:dyDescent="0.15">
      <c r="B65" s="8" t="s">
        <v>79</v>
      </c>
      <c r="C65" s="129">
        <v>201</v>
      </c>
      <c r="D65" s="129">
        <v>237.18</v>
      </c>
      <c r="E65" s="9">
        <v>320</v>
      </c>
      <c r="F65" s="133">
        <f t="shared" si="9"/>
        <v>0.2588125</v>
      </c>
      <c r="G65" s="126">
        <f t="shared" si="10"/>
        <v>0.20881250000000001</v>
      </c>
      <c r="H65">
        <f t="shared" si="1"/>
        <v>253.17999999999998</v>
      </c>
      <c r="I65">
        <f t="shared" si="2"/>
        <v>214.5593220338983</v>
      </c>
    </row>
    <row r="66" spans="2:9" x14ac:dyDescent="0.15">
      <c r="B66" s="64" t="s">
        <v>7</v>
      </c>
      <c r="C66" s="64"/>
      <c r="D66" s="64"/>
      <c r="E66" s="65"/>
    </row>
    <row r="67" spans="2:9" x14ac:dyDescent="0.15">
      <c r="B67" s="8" t="s">
        <v>9</v>
      </c>
      <c r="C67" s="129">
        <v>16105</v>
      </c>
      <c r="D67" s="129">
        <v>19003.900000000001</v>
      </c>
      <c r="E67" s="127">
        <v>23390</v>
      </c>
      <c r="F67" s="133">
        <f t="shared" ref="F67:F72" si="11">1-D67/E67</f>
        <v>0.18752030782385631</v>
      </c>
      <c r="G67" s="126">
        <f t="shared" ref="G67:G71" si="12">+F67-10%</f>
        <v>8.7520307823856308E-2</v>
      </c>
      <c r="H67">
        <f t="shared" si="1"/>
        <v>21342.9</v>
      </c>
      <c r="I67">
        <f t="shared" si="2"/>
        <v>18087.203389830509</v>
      </c>
    </row>
    <row r="68" spans="2:9" x14ac:dyDescent="0.15">
      <c r="B68" s="8" t="s">
        <v>11</v>
      </c>
      <c r="C68" s="129">
        <v>6632</v>
      </c>
      <c r="D68" s="129">
        <v>7825.76</v>
      </c>
      <c r="E68" s="127">
        <v>9630</v>
      </c>
      <c r="F68" s="133">
        <f t="shared" si="11"/>
        <v>0.18735617860851506</v>
      </c>
      <c r="G68" s="126">
        <f t="shared" si="12"/>
        <v>8.735617860851505E-2</v>
      </c>
      <c r="H68">
        <f t="shared" si="1"/>
        <v>8788.76</v>
      </c>
      <c r="I68">
        <f t="shared" si="2"/>
        <v>7448.1016949152545</v>
      </c>
    </row>
    <row r="69" spans="2:9" x14ac:dyDescent="0.15">
      <c r="B69" s="8" t="s">
        <v>13</v>
      </c>
      <c r="C69" s="129">
        <v>3426</v>
      </c>
      <c r="D69" s="129">
        <v>4042.68</v>
      </c>
      <c r="E69" s="127">
        <v>4980</v>
      </c>
      <c r="F69" s="133">
        <f t="shared" si="11"/>
        <v>0.18821686746987953</v>
      </c>
      <c r="G69" s="126">
        <f t="shared" si="12"/>
        <v>8.8216867469879529E-2</v>
      </c>
      <c r="H69">
        <f t="shared" ref="H69:H76" si="13">+E69*(1-G69)</f>
        <v>4540.6799999999994</v>
      </c>
      <c r="I69">
        <f t="shared" ref="I69:I76" si="14">+H69/1.18</f>
        <v>3848.0338983050842</v>
      </c>
    </row>
    <row r="70" spans="2:9" x14ac:dyDescent="0.15">
      <c r="B70" s="8" t="s">
        <v>14</v>
      </c>
      <c r="C70" s="129">
        <v>1783</v>
      </c>
      <c r="D70" s="129">
        <v>2605</v>
      </c>
      <c r="E70" s="127">
        <v>2605</v>
      </c>
      <c r="F70" s="133">
        <f t="shared" si="11"/>
        <v>0</v>
      </c>
      <c r="G70" s="126">
        <v>0</v>
      </c>
      <c r="H70">
        <f t="shared" si="13"/>
        <v>2605</v>
      </c>
      <c r="I70">
        <f t="shared" si="14"/>
        <v>2207.6271186440681</v>
      </c>
    </row>
    <row r="71" spans="2:9" x14ac:dyDescent="0.15">
      <c r="B71" s="8" t="s">
        <v>15</v>
      </c>
      <c r="C71" s="129">
        <v>740.2</v>
      </c>
      <c r="D71" s="129">
        <v>873.44</v>
      </c>
      <c r="E71" s="127">
        <v>1105</v>
      </c>
      <c r="F71" s="133">
        <f t="shared" si="11"/>
        <v>0.20955656108597276</v>
      </c>
      <c r="G71" s="126">
        <f t="shared" si="12"/>
        <v>0.10955656108597275</v>
      </c>
      <c r="H71">
        <f t="shared" si="13"/>
        <v>983.94</v>
      </c>
      <c r="I71">
        <f t="shared" si="14"/>
        <v>833.84745762711873</v>
      </c>
    </row>
    <row r="72" spans="2:9" x14ac:dyDescent="0.15">
      <c r="B72" s="8" t="s">
        <v>17</v>
      </c>
      <c r="C72" s="129">
        <v>385.1</v>
      </c>
      <c r="D72" s="129">
        <v>454.42</v>
      </c>
      <c r="E72" s="127">
        <v>580</v>
      </c>
      <c r="F72" s="133">
        <f t="shared" si="11"/>
        <v>0.21651724137931028</v>
      </c>
      <c r="G72" s="126">
        <f>+F72-10%</f>
        <v>0.11651724137931027</v>
      </c>
      <c r="H72">
        <f t="shared" si="13"/>
        <v>512.42000000000007</v>
      </c>
      <c r="I72">
        <f t="shared" si="14"/>
        <v>434.2542372881357</v>
      </c>
    </row>
    <row r="73" spans="2:9" ht="13" customHeight="1" x14ac:dyDescent="0.15">
      <c r="B73" s="64" t="s">
        <v>37</v>
      </c>
      <c r="C73" s="64"/>
      <c r="D73" s="64"/>
      <c r="E73" s="65"/>
      <c r="F73" s="133"/>
    </row>
    <row r="74" spans="2:9" x14ac:dyDescent="0.15">
      <c r="B74" s="8" t="s">
        <v>38</v>
      </c>
      <c r="C74" s="129">
        <v>440.6</v>
      </c>
      <c r="D74" s="129">
        <v>519.91</v>
      </c>
      <c r="E74" s="127">
        <v>870</v>
      </c>
      <c r="F74" s="133">
        <f t="shared" ref="F74" si="15">1-D74/E74</f>
        <v>0.40240229885057477</v>
      </c>
      <c r="G74" s="126">
        <f>+F74-15%</f>
        <v>0.25240229885057475</v>
      </c>
      <c r="H74">
        <f t="shared" si="13"/>
        <v>650.41</v>
      </c>
      <c r="I74">
        <f t="shared" si="14"/>
        <v>551.19491525423734</v>
      </c>
    </row>
    <row r="75" spans="2:9" ht="24" customHeight="1" x14ac:dyDescent="0.15">
      <c r="B75" s="45" t="s">
        <v>47</v>
      </c>
      <c r="C75" s="46"/>
      <c r="D75" s="46"/>
      <c r="E75" s="46"/>
      <c r="F75" s="133"/>
    </row>
    <row r="76" spans="2:9" x14ac:dyDescent="0.15">
      <c r="B76" s="8" t="s">
        <v>175</v>
      </c>
      <c r="C76" s="129">
        <v>280</v>
      </c>
      <c r="D76" s="129">
        <v>330.4</v>
      </c>
      <c r="E76" s="127">
        <v>549</v>
      </c>
      <c r="F76" s="133">
        <f t="shared" ref="F76" si="16">1-D76/E76</f>
        <v>0.39817850637522778</v>
      </c>
      <c r="G76" s="126">
        <f>+F76-20%</f>
        <v>0.19817850637522777</v>
      </c>
      <c r="H76">
        <f t="shared" si="13"/>
        <v>440.2</v>
      </c>
      <c r="I76">
        <f t="shared" si="14"/>
        <v>373.05084745762713</v>
      </c>
    </row>
  </sheetData>
  <mergeCells count="10">
    <mergeCell ref="B66:E66"/>
    <mergeCell ref="B73:E73"/>
    <mergeCell ref="B75:E75"/>
    <mergeCell ref="B60:E60"/>
    <mergeCell ref="B3:E3"/>
    <mergeCell ref="B16:E16"/>
    <mergeCell ref="B25:E25"/>
    <mergeCell ref="B35:E35"/>
    <mergeCell ref="B45:E45"/>
    <mergeCell ref="B52:E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topLeftCell="A43" zoomScale="150" zoomScaleNormal="237" workbookViewId="0">
      <selection activeCell="D15" sqref="D15"/>
    </sheetView>
  </sheetViews>
  <sheetFormatPr baseColWidth="10" defaultColWidth="9" defaultRowHeight="13" x14ac:dyDescent="0.15"/>
  <cols>
    <col min="1" max="1" width="20" customWidth="1"/>
    <col min="2" max="2" width="15.3984375" customWidth="1"/>
    <col min="3" max="3" width="7.796875" customWidth="1"/>
    <col min="4" max="4" width="10.19921875" customWidth="1"/>
    <col min="5" max="5" width="8.3984375" customWidth="1"/>
    <col min="6" max="6" width="14.796875" customWidth="1"/>
    <col min="7" max="7" width="14.59765625" customWidth="1"/>
    <col min="8" max="8" width="3.19921875" customWidth="1"/>
    <col min="9" max="9" width="5.3984375" customWidth="1"/>
    <col min="10" max="10" width="9.796875" customWidth="1"/>
    <col min="11" max="11" width="9.3984375" customWidth="1"/>
  </cols>
  <sheetData>
    <row r="1" spans="1:11" ht="49.5" customHeight="1" x14ac:dyDescent="0.15">
      <c r="A1" s="1"/>
      <c r="B1" s="30"/>
      <c r="C1" s="31"/>
      <c r="D1" s="31"/>
      <c r="E1" s="31"/>
      <c r="F1" s="31"/>
      <c r="G1" s="31"/>
      <c r="H1" s="32"/>
      <c r="I1" s="30"/>
      <c r="J1" s="31"/>
      <c r="K1" s="32"/>
    </row>
    <row r="2" spans="1:11" ht="19" customHeight="1" x14ac:dyDescent="0.15">
      <c r="A2" s="81" t="s">
        <v>85</v>
      </c>
      <c r="B2" s="82"/>
      <c r="C2" s="82"/>
      <c r="D2" s="82"/>
      <c r="E2" s="82"/>
      <c r="F2" s="82"/>
      <c r="G2" s="82"/>
      <c r="H2" s="82"/>
      <c r="I2" s="82"/>
      <c r="J2" s="82"/>
      <c r="K2" s="83"/>
    </row>
    <row r="3" spans="1:11" ht="28.75" customHeight="1" x14ac:dyDescent="0.15">
      <c r="A3" s="1"/>
      <c r="B3" s="16" t="s">
        <v>2</v>
      </c>
      <c r="C3" s="17" t="s">
        <v>3</v>
      </c>
      <c r="D3" s="5" t="s">
        <v>4</v>
      </c>
      <c r="E3" s="3" t="s">
        <v>5</v>
      </c>
      <c r="F3" s="1"/>
      <c r="G3" s="18" t="s">
        <v>86</v>
      </c>
      <c r="H3" s="84" t="s">
        <v>3</v>
      </c>
      <c r="I3" s="85"/>
      <c r="J3" s="5" t="s">
        <v>87</v>
      </c>
      <c r="K3" s="3" t="s">
        <v>5</v>
      </c>
    </row>
    <row r="4" spans="1:11" ht="9" customHeight="1" x14ac:dyDescent="0.15">
      <c r="A4" s="19">
        <v>3506</v>
      </c>
      <c r="B4" s="86" t="s">
        <v>88</v>
      </c>
      <c r="C4" s="87"/>
      <c r="D4" s="87"/>
      <c r="E4" s="88"/>
      <c r="F4" s="20">
        <v>3506</v>
      </c>
      <c r="G4" s="86" t="s">
        <v>89</v>
      </c>
      <c r="H4" s="87"/>
      <c r="I4" s="87"/>
      <c r="J4" s="87"/>
      <c r="K4" s="88"/>
    </row>
    <row r="5" spans="1:11" ht="9" customHeight="1" x14ac:dyDescent="0.15">
      <c r="A5" s="54"/>
      <c r="B5" s="8" t="s">
        <v>66</v>
      </c>
      <c r="C5" s="9">
        <v>7018.8</v>
      </c>
      <c r="D5" s="9">
        <v>8282.18</v>
      </c>
      <c r="E5" s="21">
        <v>10835</v>
      </c>
      <c r="F5" s="54"/>
      <c r="G5" s="8" t="s">
        <v>90</v>
      </c>
      <c r="H5" s="57">
        <v>71.5</v>
      </c>
      <c r="I5" s="58"/>
      <c r="J5" s="9">
        <v>84.37</v>
      </c>
      <c r="K5" s="21">
        <v>134</v>
      </c>
    </row>
    <row r="6" spans="1:11" ht="9" customHeight="1" x14ac:dyDescent="0.15">
      <c r="A6" s="55"/>
      <c r="B6" s="8" t="s">
        <v>55</v>
      </c>
      <c r="C6" s="9">
        <v>1425</v>
      </c>
      <c r="D6" s="9">
        <v>1681.5</v>
      </c>
      <c r="E6" s="21">
        <v>2215</v>
      </c>
      <c r="F6" s="55"/>
      <c r="G6" s="8" t="s">
        <v>91</v>
      </c>
      <c r="H6" s="57">
        <v>37.21</v>
      </c>
      <c r="I6" s="58"/>
      <c r="J6" s="9">
        <v>43.91</v>
      </c>
      <c r="K6" s="21">
        <v>72</v>
      </c>
    </row>
    <row r="7" spans="1:11" ht="9" customHeight="1" x14ac:dyDescent="0.15">
      <c r="A7" s="55"/>
      <c r="B7" s="8" t="s">
        <v>69</v>
      </c>
      <c r="C7" s="9">
        <v>599</v>
      </c>
      <c r="D7" s="9">
        <v>706.82</v>
      </c>
      <c r="E7" s="21">
        <v>945</v>
      </c>
      <c r="F7" s="55"/>
      <c r="G7" s="8" t="s">
        <v>92</v>
      </c>
      <c r="H7" s="57">
        <v>19.399999999999999</v>
      </c>
      <c r="I7" s="58"/>
      <c r="J7" s="9">
        <v>22.89</v>
      </c>
      <c r="K7" s="21">
        <v>38</v>
      </c>
    </row>
    <row r="8" spans="1:11" ht="9" customHeight="1" x14ac:dyDescent="0.15">
      <c r="A8" s="55"/>
      <c r="B8" s="8" t="s">
        <v>59</v>
      </c>
      <c r="C8" s="9">
        <v>301.3</v>
      </c>
      <c r="D8" s="9">
        <v>355.53</v>
      </c>
      <c r="E8" s="21">
        <v>490</v>
      </c>
      <c r="F8" s="56"/>
      <c r="G8" s="8" t="s">
        <v>93</v>
      </c>
      <c r="H8" s="57">
        <v>10.8</v>
      </c>
      <c r="I8" s="58"/>
      <c r="J8" s="9">
        <v>12.74</v>
      </c>
      <c r="K8" s="21">
        <v>23</v>
      </c>
    </row>
    <row r="9" spans="1:11" ht="9" customHeight="1" x14ac:dyDescent="0.15">
      <c r="A9" s="55"/>
      <c r="B9" s="8" t="s">
        <v>61</v>
      </c>
      <c r="C9" s="9">
        <v>161</v>
      </c>
      <c r="D9" s="9">
        <v>189.98</v>
      </c>
      <c r="E9" s="21">
        <v>265</v>
      </c>
      <c r="F9" s="22">
        <v>3209</v>
      </c>
      <c r="G9" s="89" t="s">
        <v>94</v>
      </c>
      <c r="H9" s="90"/>
      <c r="I9" s="90"/>
      <c r="J9" s="90"/>
      <c r="K9" s="91"/>
    </row>
    <row r="10" spans="1:11" ht="9" customHeight="1" x14ac:dyDescent="0.15">
      <c r="A10" s="55"/>
      <c r="B10" s="8" t="s">
        <v>72</v>
      </c>
      <c r="C10" s="9">
        <v>68.400000000000006</v>
      </c>
      <c r="D10" s="9">
        <v>80.709999999999994</v>
      </c>
      <c r="E10" s="21">
        <v>145</v>
      </c>
      <c r="F10" s="54"/>
      <c r="G10" s="8" t="s">
        <v>95</v>
      </c>
      <c r="H10" s="57">
        <v>49.57</v>
      </c>
      <c r="I10" s="58"/>
      <c r="J10" s="9">
        <v>58.49</v>
      </c>
      <c r="K10" s="21">
        <v>85</v>
      </c>
    </row>
    <row r="11" spans="1:11" ht="9" customHeight="1" x14ac:dyDescent="0.15">
      <c r="A11" s="55"/>
      <c r="B11" s="8" t="s">
        <v>65</v>
      </c>
      <c r="C11" s="9">
        <v>36.200000000000003</v>
      </c>
      <c r="D11" s="9">
        <v>42.72</v>
      </c>
      <c r="E11" s="21">
        <v>100</v>
      </c>
      <c r="F11" s="55"/>
      <c r="G11" s="8" t="s">
        <v>96</v>
      </c>
      <c r="H11" s="57">
        <v>47.59</v>
      </c>
      <c r="I11" s="58"/>
      <c r="J11" s="9">
        <v>56.16</v>
      </c>
      <c r="K11" s="21">
        <v>80</v>
      </c>
    </row>
    <row r="12" spans="1:11" ht="9" customHeight="1" x14ac:dyDescent="0.15">
      <c r="A12" s="55"/>
      <c r="B12" s="86" t="s">
        <v>97</v>
      </c>
      <c r="C12" s="87"/>
      <c r="D12" s="87"/>
      <c r="E12" s="88"/>
      <c r="F12" s="56"/>
      <c r="G12" s="23" t="s">
        <v>98</v>
      </c>
      <c r="H12" s="92">
        <v>41.61</v>
      </c>
      <c r="I12" s="93"/>
      <c r="J12" s="24">
        <v>49.1</v>
      </c>
      <c r="K12" s="25">
        <v>60</v>
      </c>
    </row>
    <row r="13" spans="1:11" ht="9" customHeight="1" x14ac:dyDescent="0.15">
      <c r="A13" s="55"/>
      <c r="B13" s="8" t="s">
        <v>66</v>
      </c>
      <c r="C13" s="9">
        <v>6368.8</v>
      </c>
      <c r="D13" s="9">
        <v>7515.18</v>
      </c>
      <c r="E13" s="21">
        <v>10950</v>
      </c>
      <c r="F13" s="20">
        <v>3213</v>
      </c>
      <c r="G13" s="86" t="s">
        <v>99</v>
      </c>
      <c r="H13" s="87"/>
      <c r="I13" s="87"/>
      <c r="J13" s="87"/>
      <c r="K13" s="88"/>
    </row>
    <row r="14" spans="1:11" ht="9" customHeight="1" x14ac:dyDescent="0.15">
      <c r="A14" s="55"/>
      <c r="B14" s="8" t="s">
        <v>55</v>
      </c>
      <c r="C14" s="9">
        <v>1292.5</v>
      </c>
      <c r="D14" s="9">
        <v>1525.15</v>
      </c>
      <c r="E14" s="21">
        <v>2230</v>
      </c>
      <c r="F14" s="54"/>
      <c r="G14" s="8" t="s">
        <v>60</v>
      </c>
      <c r="H14" s="57">
        <v>61.39</v>
      </c>
      <c r="I14" s="58"/>
      <c r="J14" s="9">
        <v>72.44</v>
      </c>
      <c r="K14" s="21">
        <v>96</v>
      </c>
    </row>
    <row r="15" spans="1:11" ht="9.75" customHeight="1" x14ac:dyDescent="0.15">
      <c r="A15" s="55"/>
      <c r="B15" s="8" t="s">
        <v>69</v>
      </c>
      <c r="C15" s="9">
        <v>535</v>
      </c>
      <c r="D15" s="9">
        <v>631.29999999999995</v>
      </c>
      <c r="E15" s="21">
        <v>925</v>
      </c>
      <c r="F15" s="55"/>
      <c r="G15" s="8" t="s">
        <v>100</v>
      </c>
      <c r="H15" s="57">
        <v>31.48</v>
      </c>
      <c r="I15" s="58"/>
      <c r="J15" s="9">
        <v>37.15</v>
      </c>
      <c r="K15" s="21">
        <v>50</v>
      </c>
    </row>
    <row r="16" spans="1:11" ht="9" customHeight="1" x14ac:dyDescent="0.15">
      <c r="A16" s="55"/>
      <c r="B16" s="8" t="s">
        <v>59</v>
      </c>
      <c r="C16" s="9">
        <v>271.8</v>
      </c>
      <c r="D16" s="9">
        <v>320.72000000000003</v>
      </c>
      <c r="E16" s="21">
        <v>485</v>
      </c>
      <c r="F16" s="55"/>
      <c r="G16" s="8" t="s">
        <v>101</v>
      </c>
      <c r="H16" s="57">
        <v>16.649999999999999</v>
      </c>
      <c r="I16" s="58"/>
      <c r="J16" s="9">
        <v>19.649999999999999</v>
      </c>
      <c r="K16" s="21">
        <v>27</v>
      </c>
    </row>
    <row r="17" spans="1:11" ht="9" customHeight="1" x14ac:dyDescent="0.15">
      <c r="A17" s="55"/>
      <c r="B17" s="8" t="s">
        <v>61</v>
      </c>
      <c r="C17" s="9">
        <v>139.4</v>
      </c>
      <c r="D17" s="9">
        <v>164.49</v>
      </c>
      <c r="E17" s="21">
        <v>265</v>
      </c>
      <c r="F17" s="56"/>
      <c r="G17" s="86" t="s">
        <v>102</v>
      </c>
      <c r="H17" s="87"/>
      <c r="I17" s="87"/>
      <c r="J17" s="87"/>
      <c r="K17" s="88"/>
    </row>
    <row r="18" spans="1:11" ht="9" customHeight="1" x14ac:dyDescent="0.15">
      <c r="A18" s="55"/>
      <c r="B18" s="86" t="s">
        <v>103</v>
      </c>
      <c r="C18" s="87"/>
      <c r="D18" s="87"/>
      <c r="E18" s="88"/>
      <c r="F18" s="54"/>
      <c r="G18" s="8" t="s">
        <v>60</v>
      </c>
      <c r="H18" s="57">
        <v>102.73</v>
      </c>
      <c r="I18" s="58"/>
      <c r="J18" s="9">
        <v>121.22</v>
      </c>
      <c r="K18" s="21">
        <v>229</v>
      </c>
    </row>
    <row r="19" spans="1:11" ht="9" customHeight="1" x14ac:dyDescent="0.15">
      <c r="A19" s="55"/>
      <c r="B19" s="8" t="s">
        <v>66</v>
      </c>
      <c r="C19" s="9">
        <v>5743.8</v>
      </c>
      <c r="D19" s="9">
        <v>6777.68</v>
      </c>
      <c r="E19" s="21">
        <v>10695</v>
      </c>
      <c r="F19" s="55"/>
      <c r="G19" s="8" t="s">
        <v>100</v>
      </c>
      <c r="H19" s="57">
        <v>52.8</v>
      </c>
      <c r="I19" s="58"/>
      <c r="J19" s="9">
        <v>62.3</v>
      </c>
      <c r="K19" s="21">
        <v>119</v>
      </c>
    </row>
    <row r="20" spans="1:11" ht="9.75" customHeight="1" x14ac:dyDescent="0.15">
      <c r="A20" s="55"/>
      <c r="B20" s="8" t="s">
        <v>104</v>
      </c>
      <c r="C20" s="9">
        <v>1050.8</v>
      </c>
      <c r="D20" s="9">
        <v>1239.94</v>
      </c>
      <c r="E20" s="21">
        <v>2110</v>
      </c>
      <c r="F20" s="55"/>
      <c r="G20" s="8" t="s">
        <v>101</v>
      </c>
      <c r="H20" s="57">
        <v>27.4</v>
      </c>
      <c r="I20" s="58"/>
      <c r="J20" s="9">
        <v>32.33</v>
      </c>
      <c r="K20" s="21">
        <v>63</v>
      </c>
    </row>
    <row r="21" spans="1:11" ht="9.25" customHeight="1" x14ac:dyDescent="0.15">
      <c r="A21" s="55"/>
      <c r="B21" s="8" t="s">
        <v>105</v>
      </c>
      <c r="C21" s="9">
        <v>229.5</v>
      </c>
      <c r="D21" s="9">
        <v>270.81</v>
      </c>
      <c r="E21" s="21">
        <v>445</v>
      </c>
      <c r="F21" s="55"/>
      <c r="G21" s="86" t="s">
        <v>106</v>
      </c>
      <c r="H21" s="87"/>
      <c r="I21" s="87"/>
      <c r="J21" s="87"/>
      <c r="K21" s="88"/>
    </row>
    <row r="22" spans="1:11" ht="9" customHeight="1" x14ac:dyDescent="0.15">
      <c r="A22" s="55"/>
      <c r="B22" s="94" t="s">
        <v>107</v>
      </c>
      <c r="C22" s="95"/>
      <c r="D22" s="95"/>
      <c r="E22" s="96"/>
      <c r="F22" s="55"/>
      <c r="G22" s="8" t="s">
        <v>60</v>
      </c>
      <c r="H22" s="57">
        <v>83.73</v>
      </c>
      <c r="I22" s="58"/>
      <c r="J22" s="9">
        <v>98.8</v>
      </c>
      <c r="K22" s="21">
        <v>178</v>
      </c>
    </row>
    <row r="23" spans="1:11" ht="9" customHeight="1" x14ac:dyDescent="0.15">
      <c r="A23" s="55"/>
      <c r="B23" s="8" t="s">
        <v>108</v>
      </c>
      <c r="C23" s="9">
        <v>5050</v>
      </c>
      <c r="D23" s="9">
        <v>5959</v>
      </c>
      <c r="E23" s="21">
        <v>8655</v>
      </c>
      <c r="F23" s="55"/>
      <c r="G23" s="8" t="s">
        <v>100</v>
      </c>
      <c r="H23" s="57">
        <v>43.02</v>
      </c>
      <c r="I23" s="58"/>
      <c r="J23" s="9">
        <v>50.76</v>
      </c>
      <c r="K23" s="21">
        <v>93</v>
      </c>
    </row>
    <row r="24" spans="1:11" ht="9.5" customHeight="1" x14ac:dyDescent="0.15">
      <c r="A24" s="55"/>
      <c r="B24" s="8" t="s">
        <v>109</v>
      </c>
      <c r="C24" s="9">
        <v>3146.3</v>
      </c>
      <c r="D24" s="9">
        <v>3712.63</v>
      </c>
      <c r="E24" s="21">
        <v>5760</v>
      </c>
      <c r="F24" s="56"/>
      <c r="G24" s="8" t="s">
        <v>101</v>
      </c>
      <c r="H24" s="57">
        <v>22.48</v>
      </c>
      <c r="I24" s="58"/>
      <c r="J24" s="9">
        <v>26.52</v>
      </c>
      <c r="K24" s="21">
        <v>49</v>
      </c>
    </row>
    <row r="25" spans="1:11" ht="9" customHeight="1" x14ac:dyDescent="0.15">
      <c r="A25" s="55"/>
      <c r="B25" s="8" t="s">
        <v>110</v>
      </c>
      <c r="C25" s="9">
        <v>1724</v>
      </c>
      <c r="D25" s="9">
        <v>2034.32</v>
      </c>
      <c r="E25" s="21">
        <v>3200</v>
      </c>
      <c r="F25" s="20">
        <v>3212</v>
      </c>
      <c r="G25" s="94" t="s">
        <v>111</v>
      </c>
      <c r="H25" s="95"/>
      <c r="I25" s="95"/>
      <c r="J25" s="95"/>
      <c r="K25" s="96"/>
    </row>
    <row r="26" spans="1:11" ht="9" customHeight="1" x14ac:dyDescent="0.15">
      <c r="A26" s="55"/>
      <c r="B26" s="8" t="s">
        <v>112</v>
      </c>
      <c r="C26" s="9">
        <v>888</v>
      </c>
      <c r="D26" s="9">
        <v>1047.8399999999999</v>
      </c>
      <c r="E26" s="21">
        <v>1715</v>
      </c>
      <c r="F26" s="54"/>
      <c r="G26" s="8" t="s">
        <v>113</v>
      </c>
      <c r="H26" s="61"/>
      <c r="I26" s="62"/>
      <c r="J26" s="11"/>
      <c r="K26" s="11"/>
    </row>
    <row r="27" spans="1:11" ht="9" customHeight="1" x14ac:dyDescent="0.15">
      <c r="A27" s="55"/>
      <c r="B27" s="97" t="s">
        <v>114</v>
      </c>
      <c r="C27" s="98"/>
      <c r="D27" s="98"/>
      <c r="E27" s="99"/>
      <c r="F27" s="55"/>
      <c r="G27" s="8" t="s">
        <v>56</v>
      </c>
      <c r="H27" s="57">
        <v>312</v>
      </c>
      <c r="I27" s="58"/>
      <c r="J27" s="9">
        <v>368.16</v>
      </c>
      <c r="K27" s="21">
        <v>455</v>
      </c>
    </row>
    <row r="28" spans="1:11" ht="9" customHeight="1" x14ac:dyDescent="0.15">
      <c r="A28" s="55"/>
      <c r="B28" s="8" t="s">
        <v>115</v>
      </c>
      <c r="C28" s="9">
        <v>4660</v>
      </c>
      <c r="D28" s="9">
        <v>5498.8</v>
      </c>
      <c r="E28" s="21">
        <v>8890</v>
      </c>
      <c r="F28" s="56"/>
      <c r="G28" s="8" t="s">
        <v>116</v>
      </c>
      <c r="H28" s="57">
        <v>37.5</v>
      </c>
      <c r="I28" s="58"/>
      <c r="J28" s="9">
        <v>44.25</v>
      </c>
      <c r="K28" s="21">
        <v>65</v>
      </c>
    </row>
    <row r="29" spans="1:11" ht="9" customHeight="1" x14ac:dyDescent="0.15">
      <c r="A29" s="55"/>
      <c r="B29" s="8" t="s">
        <v>117</v>
      </c>
      <c r="C29" s="9">
        <v>2407.5</v>
      </c>
      <c r="D29" s="9">
        <v>2840.85</v>
      </c>
      <c r="E29" s="21">
        <v>4570</v>
      </c>
      <c r="F29" s="20">
        <v>3208</v>
      </c>
      <c r="G29" s="94" t="s">
        <v>118</v>
      </c>
      <c r="H29" s="95"/>
      <c r="I29" s="95"/>
      <c r="J29" s="95"/>
      <c r="K29" s="96"/>
    </row>
    <row r="30" spans="1:11" ht="9" customHeight="1" x14ac:dyDescent="0.15">
      <c r="A30" s="55"/>
      <c r="B30" s="8" t="s">
        <v>119</v>
      </c>
      <c r="C30" s="9">
        <v>1241.3</v>
      </c>
      <c r="D30" s="9">
        <v>1464.73</v>
      </c>
      <c r="E30" s="21">
        <v>2315</v>
      </c>
      <c r="F30" s="54"/>
      <c r="G30" s="8" t="s">
        <v>120</v>
      </c>
      <c r="H30" s="57">
        <v>994</v>
      </c>
      <c r="I30" s="58"/>
      <c r="J30" s="9">
        <v>1172.92</v>
      </c>
      <c r="K30" s="21">
        <v>1490</v>
      </c>
    </row>
    <row r="31" spans="1:11" ht="9" customHeight="1" x14ac:dyDescent="0.15">
      <c r="A31" s="55"/>
      <c r="B31" s="94" t="s">
        <v>121</v>
      </c>
      <c r="C31" s="95"/>
      <c r="D31" s="95"/>
      <c r="E31" s="96"/>
      <c r="F31" s="55"/>
      <c r="G31" s="8" t="s">
        <v>56</v>
      </c>
      <c r="H31" s="57">
        <v>255</v>
      </c>
      <c r="I31" s="58"/>
      <c r="J31" s="9">
        <v>300.89999999999998</v>
      </c>
      <c r="K31" s="21">
        <v>385</v>
      </c>
    </row>
    <row r="32" spans="1:11" ht="9" customHeight="1" x14ac:dyDescent="0.15">
      <c r="A32" s="55"/>
      <c r="B32" s="8" t="s">
        <v>66</v>
      </c>
      <c r="C32" s="9">
        <v>5937.5</v>
      </c>
      <c r="D32" s="9">
        <v>7006.25</v>
      </c>
      <c r="E32" s="21">
        <v>9595</v>
      </c>
      <c r="F32" s="55"/>
      <c r="G32" s="8" t="s">
        <v>58</v>
      </c>
      <c r="H32" s="57">
        <v>131.5</v>
      </c>
      <c r="I32" s="58"/>
      <c r="J32" s="9">
        <v>155.16999999999999</v>
      </c>
      <c r="K32" s="21">
        <v>205</v>
      </c>
    </row>
    <row r="33" spans="1:11" ht="9" customHeight="1" x14ac:dyDescent="0.15">
      <c r="A33" s="55"/>
      <c r="B33" s="8" t="s">
        <v>55</v>
      </c>
      <c r="C33" s="9">
        <v>1208.75</v>
      </c>
      <c r="D33" s="9">
        <v>1426.33</v>
      </c>
      <c r="E33" s="21">
        <v>2085</v>
      </c>
      <c r="F33" s="55"/>
      <c r="G33" s="8" t="s">
        <v>72</v>
      </c>
      <c r="H33" s="57">
        <v>57.4</v>
      </c>
      <c r="I33" s="58"/>
      <c r="J33" s="9">
        <v>67.73</v>
      </c>
      <c r="K33" s="21">
        <v>94</v>
      </c>
    </row>
    <row r="34" spans="1:11" ht="9" customHeight="1" x14ac:dyDescent="0.15">
      <c r="A34" s="55"/>
      <c r="B34" s="8" t="s">
        <v>59</v>
      </c>
      <c r="C34" s="9">
        <v>253.25</v>
      </c>
      <c r="D34" s="9">
        <v>298.83999999999997</v>
      </c>
      <c r="E34" s="21">
        <v>440</v>
      </c>
      <c r="F34" s="55"/>
      <c r="G34" s="94" t="s">
        <v>122</v>
      </c>
      <c r="H34" s="95"/>
      <c r="I34" s="95"/>
      <c r="J34" s="95"/>
      <c r="K34" s="96"/>
    </row>
    <row r="35" spans="1:11" ht="9" customHeight="1" x14ac:dyDescent="0.15">
      <c r="A35" s="55"/>
      <c r="B35" s="26"/>
      <c r="C35" s="26"/>
      <c r="D35" s="9">
        <v>0</v>
      </c>
      <c r="E35" s="26"/>
      <c r="F35" s="55"/>
      <c r="G35" s="8" t="s">
        <v>120</v>
      </c>
      <c r="H35" s="57">
        <v>994</v>
      </c>
      <c r="I35" s="58"/>
      <c r="J35" s="9">
        <v>1172.92</v>
      </c>
      <c r="K35" s="21">
        <v>1490</v>
      </c>
    </row>
    <row r="36" spans="1:11" ht="9" customHeight="1" x14ac:dyDescent="0.15">
      <c r="A36" s="55"/>
      <c r="B36" s="26"/>
      <c r="C36" s="26"/>
      <c r="D36" s="9">
        <v>0</v>
      </c>
      <c r="E36" s="26"/>
      <c r="F36" s="55"/>
      <c r="G36" s="8" t="s">
        <v>56</v>
      </c>
      <c r="H36" s="57">
        <v>255</v>
      </c>
      <c r="I36" s="58"/>
      <c r="J36" s="9">
        <v>300.89999999999998</v>
      </c>
      <c r="K36" s="21">
        <v>385</v>
      </c>
    </row>
    <row r="37" spans="1:11" ht="9" customHeight="1" x14ac:dyDescent="0.15">
      <c r="A37" s="55"/>
      <c r="B37" s="86" t="s">
        <v>123</v>
      </c>
      <c r="C37" s="87"/>
      <c r="D37" s="87"/>
      <c r="E37" s="88"/>
      <c r="F37" s="55"/>
      <c r="G37" s="8" t="s">
        <v>58</v>
      </c>
      <c r="H37" s="57">
        <v>131.5</v>
      </c>
      <c r="I37" s="58"/>
      <c r="J37" s="9">
        <v>155.16999999999999</v>
      </c>
      <c r="K37" s="21">
        <v>205</v>
      </c>
    </row>
    <row r="38" spans="1:11" ht="9" customHeight="1" x14ac:dyDescent="0.15">
      <c r="A38" s="55"/>
      <c r="B38" s="8" t="s">
        <v>124</v>
      </c>
      <c r="C38" s="9">
        <v>6613</v>
      </c>
      <c r="D38" s="9">
        <v>7803.34</v>
      </c>
      <c r="E38" s="21">
        <v>10010</v>
      </c>
      <c r="F38" s="56"/>
      <c r="G38" s="8" t="s">
        <v>72</v>
      </c>
      <c r="H38" s="57">
        <v>57.4</v>
      </c>
      <c r="I38" s="58"/>
      <c r="J38" s="9">
        <v>67.73</v>
      </c>
      <c r="K38" s="21">
        <v>94</v>
      </c>
    </row>
    <row r="39" spans="1:11" ht="9.25" customHeight="1" x14ac:dyDescent="0.15">
      <c r="A39" s="55"/>
      <c r="B39" s="86" t="s">
        <v>125</v>
      </c>
      <c r="C39" s="87"/>
      <c r="D39" s="87"/>
      <c r="E39" s="88"/>
      <c r="F39" s="20">
        <v>3208</v>
      </c>
      <c r="G39" s="100" t="s">
        <v>126</v>
      </c>
      <c r="H39" s="101"/>
      <c r="I39" s="101"/>
      <c r="J39" s="101"/>
      <c r="K39" s="102"/>
    </row>
    <row r="40" spans="1:11" ht="9" customHeight="1" x14ac:dyDescent="0.15">
      <c r="A40" s="55"/>
      <c r="B40" s="8" t="s">
        <v>127</v>
      </c>
      <c r="C40" s="9">
        <v>8415</v>
      </c>
      <c r="D40" s="9">
        <v>9929.7000000000007</v>
      </c>
      <c r="E40" s="21">
        <v>12590</v>
      </c>
      <c r="F40" s="54"/>
      <c r="G40" s="8" t="s">
        <v>120</v>
      </c>
      <c r="H40" s="57">
        <v>1046.51</v>
      </c>
      <c r="I40" s="58"/>
      <c r="J40" s="9">
        <v>1234.8800000000001</v>
      </c>
      <c r="K40" s="21">
        <v>1590</v>
      </c>
    </row>
    <row r="41" spans="1:11" ht="9.25" customHeight="1" x14ac:dyDescent="0.15">
      <c r="A41" s="55"/>
      <c r="B41" s="103" t="s">
        <v>128</v>
      </c>
      <c r="C41" s="104"/>
      <c r="D41" s="104"/>
      <c r="E41" s="105"/>
      <c r="F41" s="55"/>
      <c r="G41" s="8" t="s">
        <v>56</v>
      </c>
      <c r="H41" s="57">
        <v>270.68</v>
      </c>
      <c r="I41" s="58"/>
      <c r="J41" s="9">
        <v>319.39999999999998</v>
      </c>
      <c r="K41" s="21">
        <v>416</v>
      </c>
    </row>
    <row r="42" spans="1:11" ht="9" customHeight="1" x14ac:dyDescent="0.15">
      <c r="A42" s="55"/>
      <c r="B42" s="8" t="s">
        <v>129</v>
      </c>
      <c r="C42" s="9">
        <v>125</v>
      </c>
      <c r="D42" s="9">
        <v>147.5</v>
      </c>
      <c r="E42" s="21">
        <v>330</v>
      </c>
      <c r="F42" s="55"/>
      <c r="G42" s="8" t="s">
        <v>58</v>
      </c>
      <c r="H42" s="57">
        <v>139.68</v>
      </c>
      <c r="I42" s="58"/>
      <c r="J42" s="9">
        <v>164.82</v>
      </c>
      <c r="K42" s="21">
        <v>215</v>
      </c>
    </row>
    <row r="43" spans="1:11" ht="9" customHeight="1" x14ac:dyDescent="0.15">
      <c r="A43" s="56"/>
      <c r="B43" s="94" t="s">
        <v>130</v>
      </c>
      <c r="C43" s="95"/>
      <c r="D43" s="95"/>
      <c r="E43" s="96"/>
      <c r="F43" s="55"/>
      <c r="G43" s="8" t="s">
        <v>72</v>
      </c>
      <c r="H43" s="57">
        <v>61.08</v>
      </c>
      <c r="I43" s="58"/>
      <c r="J43" s="9">
        <v>72.069999999999993</v>
      </c>
      <c r="K43" s="21">
        <v>103</v>
      </c>
    </row>
    <row r="44" spans="1:11" ht="9" customHeight="1" x14ac:dyDescent="0.15">
      <c r="A44" s="26"/>
      <c r="B44" s="8" t="s">
        <v>131</v>
      </c>
      <c r="C44" s="9">
        <v>270</v>
      </c>
      <c r="D44" s="9">
        <v>318.60000000000002</v>
      </c>
      <c r="E44" s="21">
        <v>900</v>
      </c>
      <c r="F44" s="55"/>
      <c r="G44" s="106" t="s">
        <v>132</v>
      </c>
      <c r="H44" s="107"/>
      <c r="I44" s="107"/>
      <c r="J44" s="107"/>
      <c r="K44" s="108"/>
    </row>
    <row r="45" spans="1:11" ht="9" customHeight="1" x14ac:dyDescent="0.15">
      <c r="A45" s="19">
        <v>8205</v>
      </c>
      <c r="B45" s="94" t="s">
        <v>133</v>
      </c>
      <c r="C45" s="95"/>
      <c r="D45" s="95"/>
      <c r="E45" s="96"/>
      <c r="F45" s="55"/>
      <c r="G45" s="8" t="s">
        <v>120</v>
      </c>
      <c r="H45" s="57">
        <v>1193.68</v>
      </c>
      <c r="I45" s="58"/>
      <c r="J45" s="9">
        <v>1408.54</v>
      </c>
      <c r="K45" s="21">
        <v>1750</v>
      </c>
    </row>
    <row r="46" spans="1:11" ht="9" customHeight="1" x14ac:dyDescent="0.15">
      <c r="A46" s="54"/>
      <c r="B46" s="8" t="s">
        <v>134</v>
      </c>
      <c r="C46" s="9">
        <v>242.29</v>
      </c>
      <c r="D46" s="9">
        <v>285.89999999999998</v>
      </c>
      <c r="E46" s="21">
        <v>450</v>
      </c>
      <c r="F46" s="55"/>
      <c r="G46" s="8" t="s">
        <v>56</v>
      </c>
      <c r="H46" s="57">
        <v>306.52999999999997</v>
      </c>
      <c r="I46" s="58"/>
      <c r="J46" s="9">
        <v>361.71</v>
      </c>
      <c r="K46" s="21">
        <v>460</v>
      </c>
    </row>
    <row r="47" spans="1:11" ht="9" customHeight="1" x14ac:dyDescent="0.15">
      <c r="A47" s="55"/>
      <c r="B47" s="8" t="s">
        <v>135</v>
      </c>
      <c r="C47" s="9">
        <v>271.02</v>
      </c>
      <c r="D47" s="9">
        <v>319.8</v>
      </c>
      <c r="E47" s="21">
        <v>500</v>
      </c>
      <c r="F47" s="55"/>
      <c r="G47" s="8" t="s">
        <v>58</v>
      </c>
      <c r="H47" s="57">
        <v>158.25</v>
      </c>
      <c r="I47" s="58"/>
      <c r="J47" s="9">
        <v>186.74</v>
      </c>
      <c r="K47" s="21">
        <v>243</v>
      </c>
    </row>
    <row r="48" spans="1:11" ht="9" customHeight="1" x14ac:dyDescent="0.15">
      <c r="A48" s="55"/>
      <c r="B48" s="8" t="s">
        <v>136</v>
      </c>
      <c r="C48" s="9">
        <v>740</v>
      </c>
      <c r="D48" s="9">
        <v>873.2</v>
      </c>
      <c r="E48" s="21">
        <v>1300</v>
      </c>
      <c r="F48" s="56"/>
      <c r="G48" s="8" t="s">
        <v>72</v>
      </c>
      <c r="H48" s="57">
        <v>69.290000000000006</v>
      </c>
      <c r="I48" s="58"/>
      <c r="J48" s="9">
        <v>81.760000000000005</v>
      </c>
      <c r="K48" s="21">
        <v>113</v>
      </c>
    </row>
    <row r="49" spans="1:11" ht="9" customHeight="1" x14ac:dyDescent="0.15">
      <c r="A49" s="55"/>
      <c r="B49" s="103" t="s">
        <v>137</v>
      </c>
      <c r="C49" s="104"/>
      <c r="D49" s="104"/>
      <c r="E49" s="105"/>
      <c r="F49" s="28"/>
      <c r="G49" s="94" t="s">
        <v>138</v>
      </c>
      <c r="H49" s="95"/>
      <c r="I49" s="95"/>
      <c r="J49" s="95"/>
      <c r="K49" s="96"/>
    </row>
    <row r="50" spans="1:11" ht="9" customHeight="1" x14ac:dyDescent="0.15">
      <c r="A50" s="55"/>
      <c r="B50" s="8" t="s">
        <v>139</v>
      </c>
      <c r="C50" s="9">
        <v>57.2</v>
      </c>
      <c r="D50" s="9">
        <v>67.5</v>
      </c>
      <c r="E50" s="21">
        <v>95</v>
      </c>
      <c r="F50" s="54"/>
      <c r="G50" s="8" t="s">
        <v>120</v>
      </c>
      <c r="H50" s="57">
        <v>769.2</v>
      </c>
      <c r="I50" s="58"/>
      <c r="J50" s="9">
        <v>907.66</v>
      </c>
      <c r="K50" s="21">
        <v>1130</v>
      </c>
    </row>
    <row r="51" spans="1:11" ht="9" customHeight="1" x14ac:dyDescent="0.15">
      <c r="A51" s="55"/>
      <c r="B51" s="8" t="s">
        <v>140</v>
      </c>
      <c r="C51" s="9">
        <v>48.22</v>
      </c>
      <c r="D51" s="9">
        <v>56.9</v>
      </c>
      <c r="E51" s="21">
        <v>80</v>
      </c>
      <c r="F51" s="55"/>
      <c r="G51" s="8" t="s">
        <v>56</v>
      </c>
      <c r="H51" s="57">
        <v>198.09</v>
      </c>
      <c r="I51" s="58"/>
      <c r="J51" s="9">
        <v>233.75</v>
      </c>
      <c r="K51" s="21">
        <v>295</v>
      </c>
    </row>
    <row r="52" spans="1:11" ht="9" customHeight="1" x14ac:dyDescent="0.15">
      <c r="A52" s="55"/>
      <c r="B52" s="8" t="s">
        <v>141</v>
      </c>
      <c r="C52" s="9">
        <v>45.09</v>
      </c>
      <c r="D52" s="9">
        <v>53.2</v>
      </c>
      <c r="E52" s="21">
        <v>75</v>
      </c>
      <c r="F52" s="55"/>
      <c r="G52" s="94" t="s">
        <v>142</v>
      </c>
      <c r="H52" s="95"/>
      <c r="I52" s="95"/>
      <c r="J52" s="95"/>
      <c r="K52" s="96"/>
    </row>
    <row r="53" spans="1:11" ht="9" customHeight="1" x14ac:dyDescent="0.15">
      <c r="A53" s="55"/>
      <c r="B53" s="106" t="s">
        <v>143</v>
      </c>
      <c r="C53" s="107"/>
      <c r="D53" s="107"/>
      <c r="E53" s="108"/>
      <c r="F53" s="55"/>
      <c r="G53" s="8" t="s">
        <v>56</v>
      </c>
      <c r="H53" s="57">
        <v>642</v>
      </c>
      <c r="I53" s="58"/>
      <c r="J53" s="9">
        <v>757.56</v>
      </c>
      <c r="K53" s="21">
        <v>910</v>
      </c>
    </row>
    <row r="54" spans="1:11" ht="9" customHeight="1" x14ac:dyDescent="0.15">
      <c r="A54" s="55"/>
      <c r="B54" s="10" t="s">
        <v>144</v>
      </c>
      <c r="C54" s="9">
        <v>600</v>
      </c>
      <c r="D54" s="9">
        <v>708</v>
      </c>
      <c r="E54" s="21">
        <v>1399</v>
      </c>
      <c r="F54" s="56"/>
      <c r="G54" s="8" t="s">
        <v>145</v>
      </c>
      <c r="H54" s="57">
        <v>2508</v>
      </c>
      <c r="I54" s="58"/>
      <c r="J54" s="9">
        <v>2959.44</v>
      </c>
      <c r="K54" s="21">
        <v>3400</v>
      </c>
    </row>
    <row r="55" spans="1:11" ht="9" customHeight="1" x14ac:dyDescent="0.15">
      <c r="A55" s="55"/>
      <c r="B55" s="103" t="s">
        <v>146</v>
      </c>
      <c r="C55" s="104"/>
      <c r="D55" s="104"/>
      <c r="E55" s="105"/>
      <c r="F55" s="54"/>
      <c r="G55" s="8" t="s">
        <v>147</v>
      </c>
      <c r="H55" s="109">
        <v>17970</v>
      </c>
      <c r="I55" s="110"/>
      <c r="J55" s="9">
        <v>21204.6</v>
      </c>
      <c r="K55" s="21">
        <v>25450</v>
      </c>
    </row>
    <row r="56" spans="1:11" ht="9" customHeight="1" x14ac:dyDescent="0.15">
      <c r="A56" s="56"/>
      <c r="B56" s="8" t="s">
        <v>148</v>
      </c>
      <c r="C56" s="9">
        <v>130</v>
      </c>
      <c r="D56" s="9">
        <v>153.4</v>
      </c>
      <c r="E56" s="21">
        <v>299</v>
      </c>
      <c r="F56" s="55"/>
      <c r="G56" s="111" t="s">
        <v>149</v>
      </c>
      <c r="H56" s="112"/>
      <c r="I56" s="112"/>
      <c r="J56" s="112"/>
      <c r="K56" s="113"/>
    </row>
    <row r="57" spans="1:11" ht="9.25" customHeight="1" x14ac:dyDescent="0.15">
      <c r="A57" s="20">
        <v>3214</v>
      </c>
      <c r="B57" s="86" t="s">
        <v>150</v>
      </c>
      <c r="C57" s="87"/>
      <c r="D57" s="87"/>
      <c r="E57" s="88"/>
      <c r="F57" s="55"/>
      <c r="G57" s="8" t="s">
        <v>56</v>
      </c>
      <c r="H57" s="57">
        <v>658</v>
      </c>
      <c r="I57" s="58"/>
      <c r="J57" s="9">
        <v>776.44</v>
      </c>
      <c r="K57" s="21">
        <v>935</v>
      </c>
    </row>
    <row r="58" spans="1:11" ht="9" customHeight="1" x14ac:dyDescent="0.15">
      <c r="A58" s="54"/>
      <c r="B58" s="8" t="s">
        <v>151</v>
      </c>
      <c r="C58" s="9">
        <v>102</v>
      </c>
      <c r="D58" s="9">
        <v>120.36</v>
      </c>
      <c r="E58" s="21">
        <v>315</v>
      </c>
      <c r="F58" s="55"/>
      <c r="G58" s="8" t="s">
        <v>120</v>
      </c>
      <c r="H58" s="57">
        <v>2572</v>
      </c>
      <c r="I58" s="58"/>
      <c r="J58" s="9">
        <v>3034.96</v>
      </c>
      <c r="K58" s="21">
        <v>3500</v>
      </c>
    </row>
    <row r="59" spans="1:11" ht="9" customHeight="1" x14ac:dyDescent="0.15">
      <c r="A59" s="55"/>
      <c r="B59" s="114" t="s">
        <v>152</v>
      </c>
      <c r="C59" s="115"/>
      <c r="D59" s="115"/>
      <c r="E59" s="116"/>
      <c r="F59" s="55"/>
      <c r="G59" s="8" t="s">
        <v>153</v>
      </c>
      <c r="H59" s="109">
        <v>18480</v>
      </c>
      <c r="I59" s="110"/>
      <c r="J59" s="9">
        <v>21806.400000000001</v>
      </c>
      <c r="K59" s="21">
        <v>24050</v>
      </c>
    </row>
    <row r="60" spans="1:11" ht="9" customHeight="1" x14ac:dyDescent="0.15">
      <c r="A60" s="55"/>
      <c r="B60" s="8" t="s">
        <v>154</v>
      </c>
      <c r="C60" s="9">
        <v>117</v>
      </c>
      <c r="D60" s="9">
        <v>138.06</v>
      </c>
      <c r="E60" s="21">
        <v>325</v>
      </c>
      <c r="F60" s="55"/>
      <c r="G60" s="103" t="s">
        <v>155</v>
      </c>
      <c r="H60" s="104"/>
      <c r="I60" s="104"/>
      <c r="J60" s="104"/>
      <c r="K60" s="105"/>
    </row>
    <row r="61" spans="1:11" ht="9" customHeight="1" x14ac:dyDescent="0.15">
      <c r="A61" s="55"/>
      <c r="B61" s="103" t="s">
        <v>156</v>
      </c>
      <c r="C61" s="104"/>
      <c r="D61" s="104"/>
      <c r="E61" s="105"/>
      <c r="F61" s="55"/>
      <c r="G61" s="8" t="s">
        <v>56</v>
      </c>
      <c r="H61" s="57">
        <v>651</v>
      </c>
      <c r="I61" s="58"/>
      <c r="J61" s="9">
        <v>768.18</v>
      </c>
      <c r="K61" s="21">
        <v>920</v>
      </c>
    </row>
    <row r="62" spans="1:11" ht="9" customHeight="1" x14ac:dyDescent="0.15">
      <c r="A62" s="55"/>
      <c r="B62" s="8" t="s">
        <v>157</v>
      </c>
      <c r="C62" s="9">
        <v>132</v>
      </c>
      <c r="D62" s="9">
        <v>155.76</v>
      </c>
      <c r="E62" s="21">
        <v>375</v>
      </c>
      <c r="F62" s="56"/>
      <c r="G62" s="8" t="s">
        <v>120</v>
      </c>
      <c r="H62" s="57">
        <v>2532</v>
      </c>
      <c r="I62" s="58"/>
      <c r="J62" s="9">
        <v>2987.76</v>
      </c>
      <c r="K62" s="21">
        <v>3450</v>
      </c>
    </row>
    <row r="63" spans="1:11" ht="9" customHeight="1" x14ac:dyDescent="0.15">
      <c r="A63" s="55"/>
      <c r="B63" s="117" t="s">
        <v>158</v>
      </c>
      <c r="C63" s="118"/>
      <c r="D63" s="118"/>
      <c r="E63" s="119"/>
      <c r="F63" s="20">
        <v>3208</v>
      </c>
      <c r="G63" s="8" t="s">
        <v>159</v>
      </c>
      <c r="H63" s="109">
        <v>18150</v>
      </c>
      <c r="I63" s="110"/>
      <c r="J63" s="9">
        <v>21417</v>
      </c>
      <c r="K63" s="21">
        <v>25700</v>
      </c>
    </row>
    <row r="64" spans="1:11" ht="9" customHeight="1" x14ac:dyDescent="0.15">
      <c r="A64" s="55"/>
      <c r="B64" s="8" t="s">
        <v>157</v>
      </c>
      <c r="C64" s="9">
        <v>179</v>
      </c>
      <c r="D64" s="9">
        <v>211.22</v>
      </c>
      <c r="E64" s="21">
        <v>425</v>
      </c>
      <c r="F64" s="54"/>
      <c r="G64" s="117" t="s">
        <v>160</v>
      </c>
      <c r="H64" s="118"/>
      <c r="I64" s="118"/>
      <c r="J64" s="118"/>
      <c r="K64" s="119"/>
    </row>
    <row r="65" spans="1:11" ht="9" customHeight="1" x14ac:dyDescent="0.15">
      <c r="A65" s="55"/>
      <c r="B65" s="120" t="s">
        <v>161</v>
      </c>
      <c r="C65" s="121"/>
      <c r="D65" s="121"/>
      <c r="E65" s="122"/>
      <c r="F65" s="55"/>
      <c r="G65" s="8" t="s">
        <v>162</v>
      </c>
      <c r="H65" s="57">
        <v>3992.6</v>
      </c>
      <c r="I65" s="58"/>
      <c r="J65" s="9">
        <v>4711.2700000000004</v>
      </c>
      <c r="K65" s="21">
        <v>5347</v>
      </c>
    </row>
    <row r="66" spans="1:11" ht="9" customHeight="1" x14ac:dyDescent="0.15">
      <c r="A66" s="55"/>
      <c r="B66" s="8" t="s">
        <v>163</v>
      </c>
      <c r="C66" s="9">
        <v>85</v>
      </c>
      <c r="D66" s="9">
        <v>100.3</v>
      </c>
      <c r="E66" s="21">
        <v>140</v>
      </c>
      <c r="F66" s="55"/>
      <c r="G66" s="8" t="s">
        <v>120</v>
      </c>
      <c r="H66" s="57">
        <v>761.24</v>
      </c>
      <c r="I66" s="58"/>
      <c r="J66" s="9">
        <v>898.26</v>
      </c>
      <c r="K66" s="21">
        <v>1014</v>
      </c>
    </row>
    <row r="67" spans="1:11" ht="9" customHeight="1" x14ac:dyDescent="0.15">
      <c r="A67" s="55"/>
      <c r="B67" s="100" t="s">
        <v>164</v>
      </c>
      <c r="C67" s="101"/>
      <c r="D67" s="101"/>
      <c r="E67" s="102"/>
      <c r="F67" s="55"/>
      <c r="G67" s="8" t="s">
        <v>56</v>
      </c>
      <c r="H67" s="57">
        <v>210.14</v>
      </c>
      <c r="I67" s="58"/>
      <c r="J67" s="9">
        <v>247.97</v>
      </c>
      <c r="K67" s="21">
        <v>286</v>
      </c>
    </row>
    <row r="68" spans="1:11" ht="9" customHeight="1" x14ac:dyDescent="0.15">
      <c r="A68" s="56"/>
      <c r="B68" s="8" t="s">
        <v>163</v>
      </c>
      <c r="C68" s="9">
        <v>80.5</v>
      </c>
      <c r="D68" s="9">
        <v>94.99</v>
      </c>
      <c r="E68" s="21">
        <v>250</v>
      </c>
      <c r="F68" s="55"/>
      <c r="G68" s="89" t="s">
        <v>165</v>
      </c>
      <c r="H68" s="90"/>
      <c r="I68" s="90"/>
      <c r="J68" s="90"/>
      <c r="K68" s="91"/>
    </row>
    <row r="69" spans="1:11" ht="9" customHeight="1" x14ac:dyDescent="0.15">
      <c r="A69" s="20">
        <v>3506</v>
      </c>
      <c r="B69" s="86" t="s">
        <v>166</v>
      </c>
      <c r="C69" s="87"/>
      <c r="D69" s="87"/>
      <c r="E69" s="88"/>
      <c r="F69" s="55"/>
      <c r="G69" s="8" t="s">
        <v>162</v>
      </c>
      <c r="H69" s="57">
        <v>5075</v>
      </c>
      <c r="I69" s="58"/>
      <c r="J69" s="9">
        <v>5988.5</v>
      </c>
      <c r="K69" s="21">
        <v>7725</v>
      </c>
    </row>
    <row r="70" spans="1:11" ht="9" customHeight="1" x14ac:dyDescent="0.15">
      <c r="A70" s="54"/>
      <c r="B70" s="8" t="s">
        <v>167</v>
      </c>
      <c r="C70" s="9">
        <v>37.9</v>
      </c>
      <c r="D70" s="9">
        <v>44.72</v>
      </c>
      <c r="E70" s="21">
        <v>70</v>
      </c>
      <c r="F70" s="56"/>
      <c r="G70" s="8" t="s">
        <v>120</v>
      </c>
      <c r="H70" s="57">
        <v>1084</v>
      </c>
      <c r="I70" s="58"/>
      <c r="J70" s="9">
        <v>1279.1199999999999</v>
      </c>
      <c r="K70" s="29">
        <v>1675</v>
      </c>
    </row>
    <row r="71" spans="1:11" ht="9" customHeight="1" x14ac:dyDescent="0.15">
      <c r="A71" s="55"/>
      <c r="B71" s="8" t="s">
        <v>168</v>
      </c>
      <c r="C71" s="9">
        <v>82.5</v>
      </c>
      <c r="D71" s="9">
        <v>97.35</v>
      </c>
      <c r="E71" s="21">
        <v>150</v>
      </c>
      <c r="F71" s="54"/>
      <c r="G71" s="8" t="s">
        <v>56</v>
      </c>
      <c r="H71" s="57">
        <v>282</v>
      </c>
      <c r="I71" s="58"/>
      <c r="J71" s="9">
        <v>332.76</v>
      </c>
      <c r="K71" s="21">
        <v>460</v>
      </c>
    </row>
    <row r="72" spans="1:11" ht="9" customHeight="1" x14ac:dyDescent="0.15">
      <c r="A72" s="55"/>
      <c r="B72" s="27" t="s">
        <v>169</v>
      </c>
      <c r="C72" s="9">
        <v>37.9</v>
      </c>
      <c r="D72" s="9">
        <v>44.72</v>
      </c>
      <c r="E72" s="21">
        <v>75</v>
      </c>
      <c r="F72" s="55"/>
      <c r="G72" s="89" t="s">
        <v>170</v>
      </c>
      <c r="H72" s="90"/>
      <c r="I72" s="90"/>
      <c r="J72" s="90"/>
      <c r="K72" s="91"/>
    </row>
    <row r="73" spans="1:11" ht="9" customHeight="1" x14ac:dyDescent="0.15">
      <c r="A73" s="55"/>
      <c r="B73" s="86" t="s">
        <v>171</v>
      </c>
      <c r="C73" s="87"/>
      <c r="D73" s="87"/>
      <c r="E73" s="88"/>
      <c r="F73" s="55"/>
      <c r="G73" s="8" t="s">
        <v>162</v>
      </c>
      <c r="H73" s="57">
        <v>4853</v>
      </c>
      <c r="I73" s="58"/>
      <c r="J73" s="9">
        <v>5726.54</v>
      </c>
      <c r="K73" s="21">
        <v>7455</v>
      </c>
    </row>
    <row r="74" spans="1:11" ht="9" customHeight="1" x14ac:dyDescent="0.15">
      <c r="A74" s="55"/>
      <c r="B74" s="8" t="s">
        <v>167</v>
      </c>
      <c r="C74" s="9">
        <v>44.4</v>
      </c>
      <c r="D74" s="9">
        <v>52.39</v>
      </c>
      <c r="E74" s="21">
        <v>85</v>
      </c>
      <c r="F74" s="55"/>
      <c r="G74" s="8" t="s">
        <v>120</v>
      </c>
      <c r="H74" s="57">
        <v>1037</v>
      </c>
      <c r="I74" s="58"/>
      <c r="J74" s="9">
        <v>1223.6600000000001</v>
      </c>
      <c r="K74" s="21">
        <v>1610</v>
      </c>
    </row>
    <row r="75" spans="1:11" ht="9" customHeight="1" x14ac:dyDescent="0.15">
      <c r="A75" s="55"/>
      <c r="B75" s="8" t="s">
        <v>168</v>
      </c>
      <c r="C75" s="9">
        <v>89.7</v>
      </c>
      <c r="D75" s="9">
        <v>105.85</v>
      </c>
      <c r="E75" s="21">
        <v>170</v>
      </c>
      <c r="F75" s="56"/>
      <c r="G75" s="8" t="s">
        <v>56</v>
      </c>
      <c r="H75" s="57">
        <v>270</v>
      </c>
      <c r="I75" s="58"/>
      <c r="J75" s="9">
        <v>318.60000000000002</v>
      </c>
      <c r="K75" s="21">
        <v>443</v>
      </c>
    </row>
    <row r="76" spans="1:11" ht="9" customHeight="1" x14ac:dyDescent="0.15">
      <c r="A76" s="56"/>
      <c r="B76" s="26"/>
      <c r="C76" s="26"/>
      <c r="D76" s="26"/>
      <c r="E76" s="26"/>
      <c r="F76" s="26"/>
      <c r="G76" s="8" t="s">
        <v>172</v>
      </c>
      <c r="H76" s="57">
        <v>107.97</v>
      </c>
      <c r="I76" s="58"/>
      <c r="J76" s="9">
        <v>127.4</v>
      </c>
      <c r="K76" s="21">
        <v>200</v>
      </c>
    </row>
    <row r="77" spans="1:11" ht="9" customHeight="1" x14ac:dyDescent="0.15">
      <c r="A77" s="123" t="s">
        <v>84</v>
      </c>
      <c r="B77" s="124"/>
      <c r="C77" s="124"/>
      <c r="D77" s="124"/>
      <c r="E77" s="124"/>
      <c r="F77" s="124"/>
      <c r="G77" s="124"/>
      <c r="H77" s="124"/>
      <c r="I77" s="124"/>
      <c r="J77" s="124"/>
      <c r="K77" s="125"/>
    </row>
  </sheetData>
  <mergeCells count="115">
    <mergeCell ref="A77:K77"/>
    <mergeCell ref="A70:A76"/>
    <mergeCell ref="H70:I70"/>
    <mergeCell ref="F71:F75"/>
    <mergeCell ref="H71:I71"/>
    <mergeCell ref="G72:K72"/>
    <mergeCell ref="B73:E73"/>
    <mergeCell ref="H73:I73"/>
    <mergeCell ref="H74:I74"/>
    <mergeCell ref="H75:I75"/>
    <mergeCell ref="H76:I76"/>
    <mergeCell ref="B61:E61"/>
    <mergeCell ref="H61:I61"/>
    <mergeCell ref="H62:I62"/>
    <mergeCell ref="B63:E63"/>
    <mergeCell ref="H63:I63"/>
    <mergeCell ref="F64:F70"/>
    <mergeCell ref="G64:K64"/>
    <mergeCell ref="B65:E65"/>
    <mergeCell ref="H65:I65"/>
    <mergeCell ref="H66:I66"/>
    <mergeCell ref="B67:E67"/>
    <mergeCell ref="H67:I67"/>
    <mergeCell ref="G68:K68"/>
    <mergeCell ref="B69:E69"/>
    <mergeCell ref="H69:I69"/>
    <mergeCell ref="A46:A56"/>
    <mergeCell ref="H46:I46"/>
    <mergeCell ref="H47:I47"/>
    <mergeCell ref="H48:I48"/>
    <mergeCell ref="B49:E49"/>
    <mergeCell ref="G49:K49"/>
    <mergeCell ref="F50:F54"/>
    <mergeCell ref="H50:I50"/>
    <mergeCell ref="H51:I51"/>
    <mergeCell ref="G52:K52"/>
    <mergeCell ref="B53:E53"/>
    <mergeCell ref="H53:I53"/>
    <mergeCell ref="H54:I54"/>
    <mergeCell ref="B55:E55"/>
    <mergeCell ref="F55:F62"/>
    <mergeCell ref="H55:I55"/>
    <mergeCell ref="G56:K56"/>
    <mergeCell ref="B57:E57"/>
    <mergeCell ref="H57:I57"/>
    <mergeCell ref="A58:A68"/>
    <mergeCell ref="H58:I58"/>
    <mergeCell ref="B59:E59"/>
    <mergeCell ref="H59:I59"/>
    <mergeCell ref="G60:K60"/>
    <mergeCell ref="B39:E39"/>
    <mergeCell ref="G39:K39"/>
    <mergeCell ref="F40:F48"/>
    <mergeCell ref="H40:I40"/>
    <mergeCell ref="B41:E41"/>
    <mergeCell ref="H41:I41"/>
    <mergeCell ref="H42:I42"/>
    <mergeCell ref="B43:E43"/>
    <mergeCell ref="H43:I43"/>
    <mergeCell ref="G44:K44"/>
    <mergeCell ref="B45:E45"/>
    <mergeCell ref="H45:I45"/>
    <mergeCell ref="G25:K25"/>
    <mergeCell ref="F26:F28"/>
    <mergeCell ref="H26:I26"/>
    <mergeCell ref="B27:E27"/>
    <mergeCell ref="H27:I27"/>
    <mergeCell ref="H28:I28"/>
    <mergeCell ref="G29:K29"/>
    <mergeCell ref="F30:F38"/>
    <mergeCell ref="H30:I30"/>
    <mergeCell ref="B31:E31"/>
    <mergeCell ref="H31:I31"/>
    <mergeCell ref="H32:I32"/>
    <mergeCell ref="H33:I33"/>
    <mergeCell ref="G34:K34"/>
    <mergeCell ref="H35:I35"/>
    <mergeCell ref="H36:I36"/>
    <mergeCell ref="B37:E37"/>
    <mergeCell ref="H37:I37"/>
    <mergeCell ref="H38:I38"/>
    <mergeCell ref="B18:E18"/>
    <mergeCell ref="F18:F24"/>
    <mergeCell ref="H18:I18"/>
    <mergeCell ref="H19:I19"/>
    <mergeCell ref="H20:I20"/>
    <mergeCell ref="G21:K21"/>
    <mergeCell ref="B22:E22"/>
    <mergeCell ref="H22:I22"/>
    <mergeCell ref="H23:I23"/>
    <mergeCell ref="H24:I24"/>
    <mergeCell ref="B1:H1"/>
    <mergeCell ref="I1:K1"/>
    <mergeCell ref="A2:K2"/>
    <mergeCell ref="H3:I3"/>
    <mergeCell ref="B4:E4"/>
    <mergeCell ref="G4:K4"/>
    <mergeCell ref="A5:A43"/>
    <mergeCell ref="F5:F8"/>
    <mergeCell ref="H5:I5"/>
    <mergeCell ref="H6:I6"/>
    <mergeCell ref="H7:I7"/>
    <mergeCell ref="H8:I8"/>
    <mergeCell ref="G9:K9"/>
    <mergeCell ref="F10:F12"/>
    <mergeCell ref="H10:I10"/>
    <mergeCell ref="H11:I11"/>
    <mergeCell ref="B12:E12"/>
    <mergeCell ref="H12:I12"/>
    <mergeCell ref="G13:K13"/>
    <mergeCell ref="F14:F17"/>
    <mergeCell ref="H14:I14"/>
    <mergeCell ref="H15:I15"/>
    <mergeCell ref="H16:I16"/>
    <mergeCell ref="G17:K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Bihari Muduli</dc:creator>
  <cp:lastModifiedBy>Anish Agarwal</cp:lastModifiedBy>
  <dcterms:created xsi:type="dcterms:W3CDTF">2026-07-18T14:19:26Z</dcterms:created>
  <dcterms:modified xsi:type="dcterms:W3CDTF">2026-08-07T06:29:32Z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2026-07-03T00:00:00Z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2026-07-18T00:00:00Z</vt:filetime>
  </property>
  <property fmtid="{D5CDD505-2E9C-101B-9397-08002B2CF9AE}" pid="6" name="Producer">
    <vt:lpwstr>Microsoft® Excel® 2021</vt:lpwstr>
  </property>
</Properties>
</file>